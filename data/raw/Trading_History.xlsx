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Stuff\tradeSimulator\tranalyzer\trade-analyzer\"/>
    </mc:Choice>
  </mc:AlternateContent>
  <xr:revisionPtr revIDLastSave="0" documentId="13_ncr:1_{9E079962-1E5E-4896-9068-EE44334F9FF1}" xr6:coauthVersionLast="47" xr6:coauthVersionMax="47" xr10:uidLastSave="{00000000-0000-0000-0000-000000000000}"/>
  <bookViews>
    <workbookView xWindow="-110" yWindow="-110" windowWidth="19420" windowHeight="10300" activeTab="1" xr2:uid="{8D4DE7F6-8859-49B1-A313-75EE304E59B3}"/>
  </bookViews>
  <sheets>
    <sheet name="STFP" sheetId="3" r:id="rId1"/>
    <sheet name="STEE" sheetId="2" r:id="rId2"/>
    <sheet name="FP" sheetId="7" r:id="rId3"/>
    <sheet name="E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J4" i="7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3" i="7"/>
  <c r="J2" i="7"/>
  <c r="I87" i="7"/>
  <c r="I87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<sst xmlns="http://schemas.openxmlformats.org/spreadsheetml/2006/main" count="1769" uniqueCount="549">
  <si>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</si>
  <si>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</si>
  <si>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</si>
  <si>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</si>
  <si>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</si>
  <si>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</si>
  <si>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</si>
  <si>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</si>
  <si>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</si>
  <si>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</si>
  <si>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</si>
  <si>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2025.10.31 15:37:44</t>
  </si>
  <si>
    <t>XTIUSD.s</t>
  </si>
  <si>
    <t>buy</t>
  </si>
  <si>
    <t>2025.11.03 10:58:05</t>
  </si>
  <si>
    <t>2025.11.03 10:24:47</t>
  </si>
  <si>
    <t>USDCAD.s</t>
  </si>
  <si>
    <t>2025.11.03 15:52:23</t>
  </si>
  <si>
    <t>2025.11.05 18:56:28</t>
  </si>
  <si>
    <t>2025.11.07 12:16:48</t>
  </si>
  <si>
    <t>2025.11.11 08:40:46</t>
  </si>
  <si>
    <t>2025.11.11 08:40:48</t>
  </si>
  <si>
    <t>2025.11.07 13:49:54</t>
  </si>
  <si>
    <t>sell</t>
  </si>
  <si>
    <t>2025.11.07 15:30:00</t>
  </si>
  <si>
    <t>2025.11.13 16:57:32</t>
  </si>
  <si>
    <t>2025.11.11 11:02:09</t>
  </si>
  <si>
    <t>2025.11.12 15:03:07</t>
  </si>
  <si>
    <t>2025.11.11 14:14:12</t>
  </si>
  <si>
    <t>2025.11.13 11:00:57</t>
  </si>
  <si>
    <t>2025.11.13 10:01:02</t>
  </si>
  <si>
    <t>GBPUSD.s</t>
  </si>
  <si>
    <t>2025.11.14 01:12:06</t>
  </si>
  <si>
    <t>2025.11.13 10:01:03</t>
  </si>
  <si>
    <t>2025.11.14 01:11:27</t>
  </si>
  <si>
    <t>2025.11.14 14:09:56</t>
  </si>
  <si>
    <t>XAGUSD.s</t>
  </si>
  <si>
    <t>2025.11.18 10:33:13</t>
  </si>
  <si>
    <t>2025.11.19 11:45:02</t>
  </si>
  <si>
    <t>2025.11.17 15:17:54</t>
  </si>
  <si>
    <t>2025.11.19 14:38:51</t>
  </si>
  <si>
    <t>2025.11.17 15:44:30</t>
  </si>
  <si>
    <t>SP500.s</t>
  </si>
  <si>
    <t>2025.11.18 17:02:13</t>
  </si>
  <si>
    <t>2025.11.20 02:20:47</t>
  </si>
  <si>
    <t>2025.11.20 16:29:47</t>
  </si>
  <si>
    <t>EURUSD.s</t>
  </si>
  <si>
    <t>2025.11.21 12:04:09</t>
  </si>
  <si>
    <t>2025.11.25 14:43:37</t>
  </si>
  <si>
    <t>2025.12.04 15:30:06</t>
  </si>
  <si>
    <t>2025.11.26 03:41:31</t>
  </si>
  <si>
    <t>2025.12.04 05:17:34</t>
  </si>
  <si>
    <t>2025.11.28 17:02:03</t>
  </si>
  <si>
    <t>2025.11.26 18:54:39</t>
  </si>
  <si>
    <t>2025.11.28 18:42:34</t>
  </si>
  <si>
    <t>2025.11.28 21:30:46</t>
  </si>
  <si>
    <t>2025.12.01 14:31:50</t>
  </si>
  <si>
    <t>2025.12.01 16:47:51</t>
  </si>
  <si>
    <t>2025.12.03 11:34:27</t>
  </si>
  <si>
    <t>2025.12.08 12:35:05</t>
  </si>
  <si>
    <t>2025.12.08 17:25:08</t>
  </si>
  <si>
    <t>2025.12.10 21:00:31</t>
  </si>
  <si>
    <t>2025.12.10 09:54:33</t>
  </si>
  <si>
    <t>2025.12.16 20:22:12</t>
  </si>
  <si>
    <t>2025.12.10 22:13:30</t>
  </si>
  <si>
    <t>2025.12.12 11:29:28</t>
  </si>
  <si>
    <t>2025.12.12 17:58:17</t>
  </si>
  <si>
    <t>2025.12.18 09:18:13</t>
  </si>
  <si>
    <t>1 512.01</t>
  </si>
  <si>
    <t>2025.12.19 15:05:29</t>
  </si>
  <si>
    <t>2025.12.29 09:37:51</t>
  </si>
  <si>
    <t>2025.12.22 16:09:49</t>
  </si>
  <si>
    <t>2025.12.19 16:43:47</t>
  </si>
  <si>
    <t>2026.01.13 17:02:30</t>
  </si>
  <si>
    <t>2025.12.26 19:10:01</t>
  </si>
  <si>
    <t>2025.12.29 08:56:22</t>
  </si>
  <si>
    <t>XAUUSD.s</t>
  </si>
  <si>
    <t>2025.12.29 17:21:47</t>
  </si>
  <si>
    <t>1 033.47</t>
  </si>
  <si>
    <t>2026.01.06 07:30:47</t>
  </si>
  <si>
    <t>2026.01.02 11:10:52</t>
  </si>
  <si>
    <t>2026.01.05 11:35:04</t>
  </si>
  <si>
    <t>2026.01.05 14:35:08</t>
  </si>
  <si>
    <t>USDJPY.s</t>
  </si>
  <si>
    <t>2026.01.09 08:59:47</t>
  </si>
  <si>
    <t>2026.01.09 08:59:41</t>
  </si>
  <si>
    <t>2026.01.07 12:24:43</t>
  </si>
  <si>
    <t>2026.01.07 19:09:23</t>
  </si>
  <si>
    <t>2026.01.08 11:45:24</t>
  </si>
  <si>
    <t>2026.01.14 22:04:18</t>
  </si>
  <si>
    <t>2 997.15</t>
  </si>
  <si>
    <t>2026.01.08 21:21:54</t>
  </si>
  <si>
    <t>2026.01.08 18:46:17</t>
  </si>
  <si>
    <t>2026.01.12 03:35:07</t>
  </si>
  <si>
    <t>2026.01.12 02:38:16</t>
  </si>
  <si>
    <t>2026.01.16 17:27:02</t>
  </si>
  <si>
    <t>2026.01.19 01:02:01</t>
  </si>
  <si>
    <t>2026.01.19 11:01:17</t>
  </si>
  <si>
    <t>2026.01.26 19:46:23</t>
  </si>
  <si>
    <t>2 193.21</t>
  </si>
  <si>
    <t>2026.01.19 11:01:18</t>
  </si>
  <si>
    <t>2026.01.23 17:51:15</t>
  </si>
  <si>
    <t>1 186.59</t>
  </si>
  <si>
    <t>2026.01.29 16:44:22</t>
  </si>
  <si>
    <t>2026.01.29 22:50:00</t>
  </si>
  <si>
    <t>2026.01.30 14:00:33</t>
  </si>
  <si>
    <t>2026.01.30 20:20:24</t>
  </si>
  <si>
    <t>2026.01.30 20:20:25</t>
  </si>
  <si>
    <t>2026.02.04 19:27:04</t>
  </si>
  <si>
    <t>2026.02.06 16:33:21</t>
  </si>
  <si>
    <t>2026.02.09 08:00:30</t>
  </si>
  <si>
    <t>2026.02.11 15:30:02</t>
  </si>
  <si>
    <t>2026.02.11 15:33:22</t>
  </si>
  <si>
    <t>2026.02.11 10:32:52</t>
  </si>
  <si>
    <t>2026.02.11 17:40:15</t>
  </si>
  <si>
    <t>2026.02.11 17:40:13</t>
  </si>
  <si>
    <t>2026.02.17 02:58:30</t>
  </si>
  <si>
    <t>2026.02.18 14:59:22</t>
  </si>
  <si>
    <t>2026.02.18 14:35:23</t>
  </si>
  <si>
    <t>2026.02.18 15:57:21</t>
  </si>
  <si>
    <t>2026.02.19 11:49:06</t>
  </si>
  <si>
    <t>2026.02.19 16:53:54</t>
  </si>
  <si>
    <t>2026.02.20 15:29:31</t>
  </si>
  <si>
    <t>2026.02.23 14:21:26</t>
  </si>
  <si>
    <t>2026.02.24 10:22:49</t>
  </si>
  <si>
    <t>2026.02.24 15:52:34</t>
  </si>
  <si>
    <t>2026.02.24 16:35:21</t>
  </si>
  <si>
    <t>2026.02.24 16:46:36</t>
  </si>
  <si>
    <t>2026.02.24 16:35:22</t>
  </si>
  <si>
    <t>2026.02.26 16:30:41</t>
  </si>
  <si>
    <t>2026.02.27 15:15:27</t>
  </si>
  <si>
    <t>2026.02.27 15:19:04</t>
  </si>
  <si>
    <t>2026.02.27 17:02:38</t>
  </si>
  <si>
    <t>2026.02.27 17:02:39</t>
  </si>
  <si>
    <t>2026.03.04 12:24:06</t>
  </si>
  <si>
    <t>2026.03.05 07:55:51</t>
  </si>
  <si>
    <t>2025.11.19 11:40:24</t>
  </si>
  <si>
    <t>2025.11.19 12:01:15</t>
  </si>
  <si>
    <t>2025.11.20 11:25:52</t>
  </si>
  <si>
    <t>2025.11.20 14:13:21</t>
  </si>
  <si>
    <t>2025.11.20 15:32:06</t>
  </si>
  <si>
    <t>2025.11.21 12:04:08</t>
  </si>
  <si>
    <t>2025.11.21 14:47:06</t>
  </si>
  <si>
    <t>2025.11.21 18:03:25</t>
  </si>
  <si>
    <t>2025.11.24 09:15:24</t>
  </si>
  <si>
    <t>2025.11.24 13:46:49</t>
  </si>
  <si>
    <t>2025.11.24 11:40:17</t>
  </si>
  <si>
    <t>2025.11.25 09:36:22</t>
  </si>
  <si>
    <t>2025.11.25 21:10:23</t>
  </si>
  <si>
    <t>2025.11.25 15:30:01</t>
  </si>
  <si>
    <t>2025.11.28 12:59:51</t>
  </si>
  <si>
    <t>2025.12.04 13:05:19</t>
  </si>
  <si>
    <t>2025.11.26 13:32:26</t>
  </si>
  <si>
    <t>2025.12.08 13:13:04</t>
  </si>
  <si>
    <t>2025.11.28 21:27:11</t>
  </si>
  <si>
    <t>2025.11.27 11:03:22</t>
  </si>
  <si>
    <t>2025.11.28 02:07:13</t>
  </si>
  <si>
    <t>2025.12.01 11:39:13</t>
  </si>
  <si>
    <t>2025.12.01 15:42:06</t>
  </si>
  <si>
    <t>2025.12.03 10:27:02</t>
  </si>
  <si>
    <t>2025.12.03 10:57:20</t>
  </si>
  <si>
    <t>2025.12.03 10:27:03</t>
  </si>
  <si>
    <t>2025.12.03 11:09:07</t>
  </si>
  <si>
    <t>2025.12.05 09:55:18</t>
  </si>
  <si>
    <t>2025.12.05 13:44:43</t>
  </si>
  <si>
    <t>2025.12.05 10:00:59</t>
  </si>
  <si>
    <t>2025.12.05 13:44:44</t>
  </si>
  <si>
    <t>2025.12.08 10:00:50</t>
  </si>
  <si>
    <t>2025.12.08 13:37:13</t>
  </si>
  <si>
    <t>2025.12.08 16:34:27</t>
  </si>
  <si>
    <t>2025.12.10 21:34:08</t>
  </si>
  <si>
    <t>2025.12.10 19:54:23</t>
  </si>
  <si>
    <t>2025.12.09 11:05:00</t>
  </si>
  <si>
    <t>2025.12.11 20:57:30</t>
  </si>
  <si>
    <t>2025.12.12 17:20:59</t>
  </si>
  <si>
    <t>2025.12.10 08:18:27</t>
  </si>
  <si>
    <t>2025.12.10 12:00:56</t>
  </si>
  <si>
    <t>2025.12.11 16:50:04</t>
  </si>
  <si>
    <t>2025.12.11 17:12:43</t>
  </si>
  <si>
    <t>2025.12.12 11:09:02</t>
  </si>
  <si>
    <t>2025.12.16 10:27:06</t>
  </si>
  <si>
    <t>2025.12.18 09:17:53</t>
  </si>
  <si>
    <t>1 445.92</t>
  </si>
  <si>
    <t>2025.12.12 14:35:49</t>
  </si>
  <si>
    <t>2025.12.12 16:48:21</t>
  </si>
  <si>
    <t>2025.12.15 03:30:24</t>
  </si>
  <si>
    <t>2025.12.15 12:21:30</t>
  </si>
  <si>
    <t>2025.12.15 11:06:26</t>
  </si>
  <si>
    <t>2025.12.15 19:53:50</t>
  </si>
  <si>
    <t>2025.12.17 10:09:32</t>
  </si>
  <si>
    <t>2025.12.17 15:58:42</t>
  </si>
  <si>
    <t>2025.12.18 14:48:59</t>
  </si>
  <si>
    <t>2025.12.19 09:53:13</t>
  </si>
  <si>
    <t>2025.12.19 12:37:36</t>
  </si>
  <si>
    <t>2025.12.22 16:07:42</t>
  </si>
  <si>
    <t>1 333.98</t>
  </si>
  <si>
    <t>2025.12.29 09:52:21</t>
  </si>
  <si>
    <t>2025.12.24 16:40:58</t>
  </si>
  <si>
    <t>2025.12.26 02:07:19</t>
  </si>
  <si>
    <t>2025.12.26 02:26:00</t>
  </si>
  <si>
    <t>2025.12.26 18:27:31</t>
  </si>
  <si>
    <t>2025.12.29 08:28:26</t>
  </si>
  <si>
    <t>2026.01.02 05:42:21</t>
  </si>
  <si>
    <t>2026.01.06 20:16:37</t>
  </si>
  <si>
    <t>2025.12.30 21:20:19</t>
  </si>
  <si>
    <t>2025.12.31 13:37:04</t>
  </si>
  <si>
    <t>2026.01.02 14:58:22</t>
  </si>
  <si>
    <t>2026.01.05 13:43:48</t>
  </si>
  <si>
    <t>2026.01.05 10:05:03</t>
  </si>
  <si>
    <t>2026.01.09 06:09:34</t>
  </si>
  <si>
    <t>2026.01.06 11:47:11</t>
  </si>
  <si>
    <t>2026.01.06 16:31:59</t>
  </si>
  <si>
    <t>2026.01.07 10:13:33</t>
  </si>
  <si>
    <t>2026.01.07 16:39:36</t>
  </si>
  <si>
    <t>2026.01.08 11:19:47</t>
  </si>
  <si>
    <t>2026.01.14 22:04:17</t>
  </si>
  <si>
    <t>2 131.19</t>
  </si>
  <si>
    <t>2026.01.09 22:00:01</t>
  </si>
  <si>
    <t>1 422.09</t>
  </si>
  <si>
    <t>2026.01.08 15:20:43</t>
  </si>
  <si>
    <t>2026.01.09 09:21:49</t>
  </si>
  <si>
    <t>2026.01.13 12:00:20</t>
  </si>
  <si>
    <t>2026.01.13 14:57:12</t>
  </si>
  <si>
    <t>2026.01.14 11:54:34</t>
  </si>
  <si>
    <t>2026.01.15 03:37:02</t>
  </si>
  <si>
    <t>2026.01.15 12:34:51</t>
  </si>
  <si>
    <t>2026.01.15 15:02:15</t>
  </si>
  <si>
    <t>2026.01.15 15:31:29</t>
  </si>
  <si>
    <t>2026.01.15 18:11:55</t>
  </si>
  <si>
    <t>2026.01.21 10:55:23</t>
  </si>
  <si>
    <t>2026.01.21 13:37:09</t>
  </si>
  <si>
    <t>2026.01.21 14:28:54</t>
  </si>
  <si>
    <t>2026.01.21 17:22:09</t>
  </si>
  <si>
    <t>2026.01.23 15:15:43</t>
  </si>
  <si>
    <t>2026.01.23 23:35:32</t>
  </si>
  <si>
    <t>2026.01.26 09:46:41</t>
  </si>
  <si>
    <t>1 166.65</t>
  </si>
  <si>
    <t>2026.01.27 16:55:02</t>
  </si>
  <si>
    <t>2026.01.28 02:48:28</t>
  </si>
  <si>
    <t>2026.01.28 20:49:18</t>
  </si>
  <si>
    <t>2026.01.29 01:16:02</t>
  </si>
  <si>
    <t>2026.01.29 11:52:39</t>
  </si>
  <si>
    <t>2026.01.29 18:50:32</t>
  </si>
  <si>
    <t>2026.01.30 13:12:18</t>
  </si>
  <si>
    <t>2026.01.30 15:30:12</t>
  </si>
  <si>
    <t>2026.01.30 16:30:04</t>
  </si>
  <si>
    <t>2026.01.30 19:03:46</t>
  </si>
  <si>
    <t>2026.02.03 19:16:04</t>
  </si>
  <si>
    <t>2026.02.04 12:31:55</t>
  </si>
  <si>
    <t>2026.02.04 16:58:07</t>
  </si>
  <si>
    <t>2026.02.04 21:48:21</t>
  </si>
  <si>
    <t>2026.02.04 18:46:53</t>
  </si>
  <si>
    <t>2026.02.06 15:00:20</t>
  </si>
  <si>
    <t>2026.02.06 15:00:16</t>
  </si>
  <si>
    <t>2026.02.09 03:30:35</t>
  </si>
  <si>
    <t>2026.02.11 15:33:12</t>
  </si>
  <si>
    <t>2026.02.17 17:34:02</t>
  </si>
  <si>
    <t>2026.02.12 17:38:09</t>
  </si>
  <si>
    <t>2026.02.12 21:42:52</t>
  </si>
  <si>
    <t>2026.02.17 20:39:56</t>
  </si>
  <si>
    <t>2026.02.12 18:14:20</t>
  </si>
  <si>
    <t>AUDUSD.s</t>
  </si>
  <si>
    <t>2026.02.19 10:15:28</t>
  </si>
  <si>
    <t>2026.02.19 10:17:18</t>
  </si>
  <si>
    <t>2026.02.13 09:27:56</t>
  </si>
  <si>
    <t>2026.02.13 09:28:18</t>
  </si>
  <si>
    <t>2026.02.13 16:28:27</t>
  </si>
  <si>
    <t>2026.02.16 11:53:54</t>
  </si>
  <si>
    <t>2026.02.23 11:14:54</t>
  </si>
  <si>
    <t>2026.02.24 17:27:02</t>
  </si>
  <si>
    <t>2026.02.24 10:00:17</t>
  </si>
  <si>
    <t>2026.02.24 10:24:05</t>
  </si>
  <si>
    <t>2026.02.25 08:46:27</t>
  </si>
  <si>
    <t>2026.02.26 04:00:31</t>
  </si>
  <si>
    <t>2026.02.25 14:06:15</t>
  </si>
  <si>
    <t>2026.02.26 10:33:18</t>
  </si>
  <si>
    <t>2026.02.26 16:43:01</t>
  </si>
  <si>
    <t>2026.02.27 17:01:26</t>
  </si>
  <si>
    <t>2026.03.04 09:24:18</t>
  </si>
  <si>
    <t>2026.03.02 21:38:43</t>
  </si>
  <si>
    <t>2026.03.03 08:01:54</t>
  </si>
  <si>
    <t>2026.03.04 09:31:47</t>
  </si>
  <si>
    <t>2026.03.05 18:10:32</t>
  </si>
  <si>
    <t>2026.03.05 08:06:46</t>
  </si>
  <si>
    <t>UK100.s</t>
  </si>
  <si>
    <t>2026.03.05 11:11:32</t>
  </si>
  <si>
    <t>2026.03.05 08:06:47</t>
  </si>
  <si>
    <t>Vol</t>
  </si>
  <si>
    <t>Entry</t>
  </si>
  <si>
    <t>BE</t>
  </si>
  <si>
    <t>2025.11.19 11:40</t>
  </si>
  <si>
    <t>2025.11.19 12:01</t>
  </si>
  <si>
    <t>2025.11.20 11:25</t>
  </si>
  <si>
    <t>2025.11.20 14:13</t>
  </si>
  <si>
    <t>2025.11.20 15:32</t>
  </si>
  <si>
    <t>2025.11.21 12:04</t>
  </si>
  <si>
    <t>2025.11.21 14:47</t>
  </si>
  <si>
    <t>2025.11.21 18:03</t>
  </si>
  <si>
    <t>2025.11.24 09:15</t>
  </si>
  <si>
    <t>2025.11.24 13:46</t>
  </si>
  <si>
    <t>2025.11.24 11:40</t>
  </si>
  <si>
    <t>2025.11.25 09:36</t>
  </si>
  <si>
    <t>2025.11.25 21:10</t>
  </si>
  <si>
    <t>2025.12.04 15:30</t>
  </si>
  <si>
    <t>2025.11.25 15:30</t>
  </si>
  <si>
    <t>2025.11.28 12:59</t>
  </si>
  <si>
    <t>2025.12.04 13:05</t>
  </si>
  <si>
    <t>2025.11.26 13:32</t>
  </si>
  <si>
    <t>2025.12.08 13:13</t>
  </si>
  <si>
    <t>2025.11.28 21:27</t>
  </si>
  <si>
    <t>2025.11.27 11:03</t>
  </si>
  <si>
    <t>2025.11.28 02:07</t>
  </si>
  <si>
    <t>2025.12.01 11:39</t>
  </si>
  <si>
    <t>2025.12.01 15:42</t>
  </si>
  <si>
    <t>2025.12.03 10:27</t>
  </si>
  <si>
    <t>2025.12.03 10:57</t>
  </si>
  <si>
    <t>2025.12.03 11:09</t>
  </si>
  <si>
    <t>2025.12.05 09:55</t>
  </si>
  <si>
    <t>2025.12.05 13:44</t>
  </si>
  <si>
    <t>2025.12.05 10:00</t>
  </si>
  <si>
    <t>2025.12.08 10:00</t>
  </si>
  <si>
    <t>2025.12.08 13:37</t>
  </si>
  <si>
    <t>2025.12.08 16:34</t>
  </si>
  <si>
    <t>2025.12.10 21:34</t>
  </si>
  <si>
    <t>2025.12.10 19:54</t>
  </si>
  <si>
    <t>2025.12.09 11:05</t>
  </si>
  <si>
    <t>2025.12.11 20:57</t>
  </si>
  <si>
    <t>2025.12.12 17:20</t>
  </si>
  <si>
    <t>2025.12.10 08:18</t>
  </si>
  <si>
    <t>2025.12.10 12:00</t>
  </si>
  <si>
    <t>2025.12.11 16:50</t>
  </si>
  <si>
    <t>2025.12.11 17:12</t>
  </si>
  <si>
    <t>2025.12.12 11:09</t>
  </si>
  <si>
    <t>2025.12.16 10:27</t>
  </si>
  <si>
    <t>2025.12.18 09:17</t>
  </si>
  <si>
    <t>2025.12.12 14:35</t>
  </si>
  <si>
    <t>2025.12.12 16:48</t>
  </si>
  <si>
    <t>2025.12.15 03:30</t>
  </si>
  <si>
    <t>2025.12.15 12:21</t>
  </si>
  <si>
    <t>2025.12.15 11:06</t>
  </si>
  <si>
    <t>2025.12.15 19:53</t>
  </si>
  <si>
    <t>2025.12.17 10:09</t>
  </si>
  <si>
    <t>2025.12.17 15:58</t>
  </si>
  <si>
    <t>2025.12.18 14:48</t>
  </si>
  <si>
    <t>2025.12.19 09:53</t>
  </si>
  <si>
    <t>2025.12.19 12:37</t>
  </si>
  <si>
    <t>2025.12.22 16:07</t>
  </si>
  <si>
    <t>2025.12.29 09:52</t>
  </si>
  <si>
    <t>2025.12.24 16:40</t>
  </si>
  <si>
    <t>2025.12.26 02:07</t>
  </si>
  <si>
    <t>2025.12.26 02:26</t>
  </si>
  <si>
    <t>2025.12.26 18:27</t>
  </si>
  <si>
    <t>2025.12.29 08:28</t>
  </si>
  <si>
    <t>2026.01.02 05:42</t>
  </si>
  <si>
    <t>2026.01.06 20:16</t>
  </si>
  <si>
    <t>2025.12.30 21:20</t>
  </si>
  <si>
    <t>2025.12.31 13:37</t>
  </si>
  <si>
    <t>2026.01.02 14:58</t>
  </si>
  <si>
    <t>2026.01.05 13:43</t>
  </si>
  <si>
    <t>2026.01.05 10:05</t>
  </si>
  <si>
    <t>2026.01.09 06:09</t>
  </si>
  <si>
    <t>2026.01.06 11:47</t>
  </si>
  <si>
    <t>2026.01.06 16:31</t>
  </si>
  <si>
    <t>2026.01.07 10:13</t>
  </si>
  <si>
    <t>2026.01.07 16:39</t>
  </si>
  <si>
    <t>2026.01.08 11:19</t>
  </si>
  <si>
    <t>2026.01.14 22:04</t>
  </si>
  <si>
    <t>2026.01.09 22:00</t>
  </si>
  <si>
    <t>2026.01.08 15:20</t>
  </si>
  <si>
    <t>2026.01.09 09:21</t>
  </si>
  <si>
    <t>2026.01.13 12:00</t>
  </si>
  <si>
    <t>2026.01.13 14:57</t>
  </si>
  <si>
    <t>2026.01.14 11:54</t>
  </si>
  <si>
    <t>2026.01.15 03:37</t>
  </si>
  <si>
    <t>2026.01.15 12:34</t>
  </si>
  <si>
    <t>2026.01.15 15:02</t>
  </si>
  <si>
    <t>2026.01.15 15:31</t>
  </si>
  <si>
    <t>2026.01.15 18:11</t>
  </si>
  <si>
    <t>2026.01.21 10:55</t>
  </si>
  <si>
    <t>2026.01.21 13:37</t>
  </si>
  <si>
    <t>2026.01.21 14:28</t>
  </si>
  <si>
    <t>2026.01.21 17:22</t>
  </si>
  <si>
    <t>2026.01.23 15:15</t>
  </si>
  <si>
    <t>2026.01.23 23:35</t>
  </si>
  <si>
    <t>2026.01.26 09:46</t>
  </si>
  <si>
    <t>2026.01.27 16:55</t>
  </si>
  <si>
    <t>2026.01.28 02:48</t>
  </si>
  <si>
    <t>2026.01.28 20:49</t>
  </si>
  <si>
    <t>2026.01.29 01:16</t>
  </si>
  <si>
    <t>2026.01.29 11:52</t>
  </si>
  <si>
    <t>2026.01.29 18:50</t>
  </si>
  <si>
    <t>2026.01.30 13:12</t>
  </si>
  <si>
    <t>2026.01.30 15:30</t>
  </si>
  <si>
    <t>2026.01.30 16:30</t>
  </si>
  <si>
    <t>2026.01.30 19:03</t>
  </si>
  <si>
    <t>2026.02.03 19:16</t>
  </si>
  <si>
    <t>2026.02.04 12:31</t>
  </si>
  <si>
    <t>2026.02.04 16:58</t>
  </si>
  <si>
    <t>2026.02.04 21:48</t>
  </si>
  <si>
    <t>2026.02.04 18:46</t>
  </si>
  <si>
    <t>2026.02.06 15:00</t>
  </si>
  <si>
    <t>2026.02.09 03:30</t>
  </si>
  <si>
    <t>2026.02.11 15:33</t>
  </si>
  <si>
    <t>2026.02.17 17:34</t>
  </si>
  <si>
    <t>2026.02.12 17:38</t>
  </si>
  <si>
    <t>2026.02.12 21:42</t>
  </si>
  <si>
    <t>2026.02.17 20:39</t>
  </si>
  <si>
    <t>2026.02.12 18:14</t>
  </si>
  <si>
    <t>2026.02.19 10:15</t>
  </si>
  <si>
    <t>2026.02.19 10:17</t>
  </si>
  <si>
    <t>2026.02.13 09:27</t>
  </si>
  <si>
    <t>2026.02.13 09:28</t>
  </si>
  <si>
    <t>2026.02.13 16:28</t>
  </si>
  <si>
    <t>2026.02.16 11:53</t>
  </si>
  <si>
    <t>2026.02.23 11:14</t>
  </si>
  <si>
    <t>2026.02.24 17:27</t>
  </si>
  <si>
    <t>2026.02.24 10:00</t>
  </si>
  <si>
    <t>2026.02.24 10:24</t>
  </si>
  <si>
    <t>2026.02.25 08:46</t>
  </si>
  <si>
    <t>2026.02.26 04:00</t>
  </si>
  <si>
    <t>2026.02.25 14:06</t>
  </si>
  <si>
    <t>2026.02.26 10:33</t>
  </si>
  <si>
    <t>2026.02.27 15:15</t>
  </si>
  <si>
    <t>2026.02.26 16:43</t>
  </si>
  <si>
    <t>2026.02.27 17:01</t>
  </si>
  <si>
    <t>2026.03.04 09:24</t>
  </si>
  <si>
    <t>2026.03.02 21:38</t>
  </si>
  <si>
    <t>2026.03.03 08:01</t>
  </si>
  <si>
    <t>2026.03.04 09:31</t>
  </si>
  <si>
    <t>2026.03.05 18:10</t>
  </si>
  <si>
    <t>2026.03.05 08:06</t>
  </si>
  <si>
    <t>2026.03.05 11:11</t>
  </si>
  <si>
    <t>Exit</t>
  </si>
  <si>
    <t>Capital</t>
  </si>
  <si>
    <t>Return</t>
  </si>
  <si>
    <t>Start Date/Time</t>
  </si>
  <si>
    <t>End Date/Time</t>
  </si>
  <si>
    <t>Asset Name</t>
  </si>
  <si>
    <t>CRUDE OIL</t>
  </si>
  <si>
    <t>EUR/USD</t>
  </si>
  <si>
    <t>USD/CAD</t>
  </si>
  <si>
    <t>GOLD</t>
  </si>
  <si>
    <t>S&amp;P 500</t>
  </si>
  <si>
    <t>GBP/USD</t>
  </si>
  <si>
    <t>USD/JPY</t>
  </si>
  <si>
    <t>SILVER</t>
  </si>
  <si>
    <t>AUD/USD</t>
  </si>
  <si>
    <t>FTSE 100</t>
  </si>
  <si>
    <t>2025.10.31 15:37</t>
  </si>
  <si>
    <t>2025.11.03 10:58</t>
  </si>
  <si>
    <t>2025.11.03 10:24</t>
  </si>
  <si>
    <t>2025.11.03 15:52</t>
  </si>
  <si>
    <t>2025.11.05 18:56</t>
  </si>
  <si>
    <t>2025.11.07 12:16</t>
  </si>
  <si>
    <t>2025.11.11 08:40</t>
  </si>
  <si>
    <t>2025.11.07 13:49</t>
  </si>
  <si>
    <t>2025.11.07 15:30</t>
  </si>
  <si>
    <t>2025.11.13 16:57</t>
  </si>
  <si>
    <t>2025.11.11 11:02</t>
  </si>
  <si>
    <t>2025.11.12 15:03</t>
  </si>
  <si>
    <t>2025.11.11 14:14</t>
  </si>
  <si>
    <t>2025.11.13 11:00</t>
  </si>
  <si>
    <t>2025.11.13 10:01</t>
  </si>
  <si>
    <t>2025.11.14 01:12</t>
  </si>
  <si>
    <t>2025.11.14 01:11</t>
  </si>
  <si>
    <t>2025.11.14 14:09</t>
  </si>
  <si>
    <t>2025.11.18 10:33</t>
  </si>
  <si>
    <t>2025.11.19 11:45</t>
  </si>
  <si>
    <t>2025.11.17 15:17</t>
  </si>
  <si>
    <t>2025.11.19 14:38</t>
  </si>
  <si>
    <t>2025.11.17 15:44</t>
  </si>
  <si>
    <t>2025.11.18 17:02</t>
  </si>
  <si>
    <t>2025.11.20 02:20</t>
  </si>
  <si>
    <t>2025.11.20 16:29</t>
  </si>
  <si>
    <t>2025.11.25 14:43</t>
  </si>
  <si>
    <t>2025.11.26 03:41</t>
  </si>
  <si>
    <t>2025.12.04 05:17</t>
  </si>
  <si>
    <t>2025.11.28 17:02</t>
  </si>
  <si>
    <t>2025.11.26 18:54</t>
  </si>
  <si>
    <t>2025.11.28 18:42</t>
  </si>
  <si>
    <t>2025.11.28 21:30</t>
  </si>
  <si>
    <t>2025.12.01 14:31</t>
  </si>
  <si>
    <t>2025.12.01 16:47</t>
  </si>
  <si>
    <t>2025.12.03 11:34</t>
  </si>
  <si>
    <t>2025.12.08 12:35</t>
  </si>
  <si>
    <t>2025.12.08 17:25</t>
  </si>
  <si>
    <t>2025.12.10 21:00</t>
  </si>
  <si>
    <t>2025.12.10 09:54</t>
  </si>
  <si>
    <t>2025.12.16 20:22</t>
  </si>
  <si>
    <t>2025.12.10 22:13</t>
  </si>
  <si>
    <t>2025.12.12 11:29</t>
  </si>
  <si>
    <t>2025.12.12 17:58</t>
  </si>
  <si>
    <t>2025.12.18 09:18</t>
  </si>
  <si>
    <t>2025.12.19 15:05</t>
  </si>
  <si>
    <t>2025.12.29 09:37</t>
  </si>
  <si>
    <t>2025.12.22 16:09</t>
  </si>
  <si>
    <t>2025.12.19 16:43</t>
  </si>
  <si>
    <t>2026.01.13 17:02</t>
  </si>
  <si>
    <t>2025.12.26 19:10</t>
  </si>
  <si>
    <t>2025.12.29 08:56</t>
  </si>
  <si>
    <t>2025.12.29 17:21</t>
  </si>
  <si>
    <t>2026.01.06 07:30</t>
  </si>
  <si>
    <t>2026.01.02 11:10</t>
  </si>
  <si>
    <t>2026.01.05 11:35</t>
  </si>
  <si>
    <t>2026.01.05 14:35</t>
  </si>
  <si>
    <t>2026.01.09 08:59</t>
  </si>
  <si>
    <t>2026.01.07 12:24</t>
  </si>
  <si>
    <t>2026.01.07 19:09</t>
  </si>
  <si>
    <t>2026.01.08 11:45</t>
  </si>
  <si>
    <t>2026.01.08 21:21</t>
  </si>
  <si>
    <t>2026.01.08 18:46</t>
  </si>
  <si>
    <t>2026.01.12 03:35</t>
  </si>
  <si>
    <t>2026.01.12 02:38</t>
  </si>
  <si>
    <t>2026.01.16 17:27</t>
  </si>
  <si>
    <t>2026.01.19 01:02</t>
  </si>
  <si>
    <t>2026.01.19 11:01</t>
  </si>
  <si>
    <t>2026.01.26 19:46</t>
  </si>
  <si>
    <t>2026.01.23 17:51</t>
  </si>
  <si>
    <t>2026.01.29 16:44</t>
  </si>
  <si>
    <t>2026.01.29 22:50</t>
  </si>
  <si>
    <t>2026.01.30 14:00</t>
  </si>
  <si>
    <t>2026.01.30 20:20</t>
  </si>
  <si>
    <t>2026.02.04 19:27</t>
  </si>
  <si>
    <t>2026.02.06 16:33</t>
  </si>
  <si>
    <t>2026.02.09 08:00</t>
  </si>
  <si>
    <t>2026.02.11 15:30</t>
  </si>
  <si>
    <t>2026.02.11 10:32</t>
  </si>
  <si>
    <t>2026.02.11 17:40</t>
  </si>
  <si>
    <t>2026.02.17 02:58</t>
  </si>
  <si>
    <t>2026.02.18 14:59</t>
  </si>
  <si>
    <t>2026.02.18 14:35</t>
  </si>
  <si>
    <t>2026.02.18 15:57</t>
  </si>
  <si>
    <t>2026.02.19 11:49</t>
  </si>
  <si>
    <t>2026.02.19 16:53</t>
  </si>
  <si>
    <t>2026.02.20 15:29</t>
  </si>
  <si>
    <t>2026.02.23 14:21</t>
  </si>
  <si>
    <t>2026.02.24 10:22</t>
  </si>
  <si>
    <t>2026.02.24 15:52</t>
  </si>
  <si>
    <t>2026.02.24 16:35</t>
  </si>
  <si>
    <t>2026.02.24 16:46</t>
  </si>
  <si>
    <t>2026.02.26 16:30</t>
  </si>
  <si>
    <t>2026.02.27 15:19</t>
  </si>
  <si>
    <t>2026.02.27 17:02</t>
  </si>
  <si>
    <t>2026.03.04 12:24</t>
  </si>
  <si>
    <t>2026.03.05 07:55</t>
  </si>
  <si>
    <t>Profit/Loss</t>
  </si>
  <si>
    <t>Risk</t>
  </si>
  <si>
    <t>Profit(GBP)</t>
  </si>
  <si>
    <t>Capital(GBP)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</si>
</sst>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5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theme="1"/>
      <name val="Arial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F0FC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8" fontId="3" fillId="0" borderId="1" xfId="0" applyNumberFormat="1" applyFont="1" applyBorder="1" applyAlignment="1">
      <alignment wrapText="1"/>
    </xf>
    <xf numFmtId="2" fontId="0" fillId="0" borderId="0" xfId="0" applyNumberFormat="1"/>
    <xf numFmtId="0" fontId="4" fillId="2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FAB6-77C0-4300-9987-271CD36D1BC1}">
  <dimension ref="A1:N87"/>
  <sheetViews>
    <sheetView topLeftCell="A75" workbookViewId="0">
      <selection sqref="A1:N87"/>
    </sheetView>
  </sheetViews>
  <sheetFormatPr defaultRowHeight="14.5" x14ac:dyDescent="0.35"/>
  <cols>
    <col min="1" max="1" width="8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5</v>
      </c>
      <c r="K1" s="1" t="s">
        <v>8</v>
      </c>
      <c r="L1" s="1" t="s">
        <v>9</v>
      </c>
      <c r="M1" s="12" t="s">
        <v>10</v>
      </c>
      <c r="N1" s="12"/>
    </row>
    <row r="2" spans="1:14" ht="20" x14ac:dyDescent="0.35">
      <c r="A2" s="2" t="s">
        <v>11</v>
      </c>
      <c r="B2" s="2">
        <v>225126954</v>
      </c>
      <c r="C2" s="2" t="s">
        <v>12</v>
      </c>
      <c r="D2" s="2" t="s">
        <v>13</v>
      </c>
      <c r="E2" s="2">
        <v>0.01</v>
      </c>
      <c r="F2" s="2">
        <v>60.648000000000003</v>
      </c>
      <c r="G2" s="2">
        <v>60.648000000000003</v>
      </c>
      <c r="H2" s="2"/>
      <c r="I2" s="2" t="s">
        <v>14</v>
      </c>
      <c r="J2" s="2">
        <v>60.642000000000003</v>
      </c>
      <c r="K2" s="2">
        <v>0</v>
      </c>
      <c r="L2" s="2">
        <v>0</v>
      </c>
      <c r="M2" s="11">
        <v>-0.05</v>
      </c>
      <c r="N2" s="11"/>
    </row>
    <row r="3" spans="1:14" ht="20" x14ac:dyDescent="0.35">
      <c r="A3" s="3" t="s">
        <v>11</v>
      </c>
      <c r="B3" s="3">
        <v>225126948</v>
      </c>
      <c r="C3" s="3" t="s">
        <v>12</v>
      </c>
      <c r="D3" s="3" t="s">
        <v>13</v>
      </c>
      <c r="E3" s="3">
        <v>0.01</v>
      </c>
      <c r="F3" s="3">
        <v>60.648000000000003</v>
      </c>
      <c r="G3" s="3">
        <v>60.648000000000003</v>
      </c>
      <c r="H3" s="3"/>
      <c r="I3" s="3" t="s">
        <v>14</v>
      </c>
      <c r="J3" s="3">
        <v>60.642000000000003</v>
      </c>
      <c r="K3" s="3">
        <v>0</v>
      </c>
      <c r="L3" s="3">
        <v>0</v>
      </c>
      <c r="M3" s="10">
        <v>-0.05</v>
      </c>
      <c r="N3" s="10"/>
    </row>
    <row r="4" spans="1:14" ht="20" x14ac:dyDescent="0.35">
      <c r="A4" s="2" t="s">
        <v>15</v>
      </c>
      <c r="B4" s="2">
        <v>225258840</v>
      </c>
      <c r="C4" s="2" t="s">
        <v>16</v>
      </c>
      <c r="D4" s="2" t="s">
        <v>13</v>
      </c>
      <c r="E4" s="2">
        <v>0.05</v>
      </c>
      <c r="F4" s="2">
        <v>1.4024099999999999</v>
      </c>
      <c r="G4" s="2">
        <v>1.4024099999999999</v>
      </c>
      <c r="H4" s="2"/>
      <c r="I4" s="2" t="s">
        <v>17</v>
      </c>
      <c r="J4" s="2">
        <v>1.4058999999999999</v>
      </c>
      <c r="K4" s="2">
        <v>0</v>
      </c>
      <c r="L4" s="2">
        <v>0</v>
      </c>
      <c r="M4" s="11">
        <v>9.27</v>
      </c>
      <c r="N4" s="11"/>
    </row>
    <row r="5" spans="1:14" ht="20" x14ac:dyDescent="0.35">
      <c r="A5" s="3" t="s">
        <v>15</v>
      </c>
      <c r="B5" s="3">
        <v>225258847</v>
      </c>
      <c r="C5" s="3" t="s">
        <v>16</v>
      </c>
      <c r="D5" s="3" t="s">
        <v>13</v>
      </c>
      <c r="E5" s="3">
        <v>0.05</v>
      </c>
      <c r="F5" s="3">
        <v>1.4024099999999999</v>
      </c>
      <c r="G5" s="3">
        <v>1.41062</v>
      </c>
      <c r="H5" s="3"/>
      <c r="I5" s="3" t="s">
        <v>18</v>
      </c>
      <c r="J5" s="3">
        <v>1.41062</v>
      </c>
      <c r="K5" s="3">
        <v>0</v>
      </c>
      <c r="L5" s="3">
        <v>0</v>
      </c>
      <c r="M5" s="10">
        <v>21.85</v>
      </c>
      <c r="N5" s="10"/>
    </row>
    <row r="6" spans="1:14" ht="20" x14ac:dyDescent="0.35">
      <c r="A6" s="2" t="s">
        <v>19</v>
      </c>
      <c r="B6" s="2">
        <v>225984447</v>
      </c>
      <c r="C6" s="2" t="s">
        <v>12</v>
      </c>
      <c r="D6" s="2" t="s">
        <v>13</v>
      </c>
      <c r="E6" s="2">
        <v>0.01</v>
      </c>
      <c r="F6" s="2">
        <v>60.363</v>
      </c>
      <c r="G6" s="2">
        <v>58.738</v>
      </c>
      <c r="H6" s="2"/>
      <c r="I6" s="2" t="s">
        <v>20</v>
      </c>
      <c r="J6" s="2">
        <v>59.802999999999997</v>
      </c>
      <c r="K6" s="2">
        <v>0</v>
      </c>
      <c r="L6" s="2">
        <v>0</v>
      </c>
      <c r="M6" s="11">
        <v>-4.34</v>
      </c>
      <c r="N6" s="11"/>
    </row>
    <row r="7" spans="1:14" ht="20" x14ac:dyDescent="0.35">
      <c r="A7" s="3" t="s">
        <v>19</v>
      </c>
      <c r="B7" s="3">
        <v>225984443</v>
      </c>
      <c r="C7" s="3" t="s">
        <v>12</v>
      </c>
      <c r="D7" s="3" t="s">
        <v>13</v>
      </c>
      <c r="E7" s="3">
        <v>0.01</v>
      </c>
      <c r="F7" s="3">
        <v>60.363</v>
      </c>
      <c r="G7" s="3">
        <v>58.738</v>
      </c>
      <c r="H7" s="3"/>
      <c r="I7" s="3" t="s">
        <v>21</v>
      </c>
      <c r="J7" s="3">
        <v>59.802999999999997</v>
      </c>
      <c r="K7" s="3">
        <v>0</v>
      </c>
      <c r="L7" s="3">
        <v>0</v>
      </c>
      <c r="M7" s="10">
        <v>-4.34</v>
      </c>
      <c r="N7" s="10"/>
    </row>
    <row r="8" spans="1:14" ht="20" x14ac:dyDescent="0.35">
      <c r="A8" s="2" t="s">
        <v>22</v>
      </c>
      <c r="B8" s="2">
        <v>225984459</v>
      </c>
      <c r="C8" s="2" t="s">
        <v>16</v>
      </c>
      <c r="D8" s="2" t="s">
        <v>23</v>
      </c>
      <c r="E8" s="2">
        <v>0.05</v>
      </c>
      <c r="F8" s="2">
        <v>1.41092</v>
      </c>
      <c r="G8" s="2">
        <v>1.41092</v>
      </c>
      <c r="H8" s="2"/>
      <c r="I8" s="2" t="s">
        <v>24</v>
      </c>
      <c r="J8" s="2">
        <v>1.40743</v>
      </c>
      <c r="K8" s="2">
        <v>0</v>
      </c>
      <c r="L8" s="2">
        <v>0</v>
      </c>
      <c r="M8" s="11">
        <v>9.25</v>
      </c>
      <c r="N8" s="11"/>
    </row>
    <row r="9" spans="1:14" ht="20" x14ac:dyDescent="0.35">
      <c r="A9" s="3" t="s">
        <v>22</v>
      </c>
      <c r="B9" s="3">
        <v>225984456</v>
      </c>
      <c r="C9" s="3" t="s">
        <v>16</v>
      </c>
      <c r="D9" s="3" t="s">
        <v>23</v>
      </c>
      <c r="E9" s="3">
        <v>0.05</v>
      </c>
      <c r="F9" s="3">
        <v>1.41092</v>
      </c>
      <c r="G9" s="3">
        <v>1.4013199999999999</v>
      </c>
      <c r="H9" s="3"/>
      <c r="I9" s="3" t="s">
        <v>25</v>
      </c>
      <c r="J9" s="3">
        <v>1.4013199999999999</v>
      </c>
      <c r="K9" s="3">
        <v>0</v>
      </c>
      <c r="L9" s="3">
        <v>0</v>
      </c>
      <c r="M9" s="10">
        <v>25.48</v>
      </c>
      <c r="N9" s="10"/>
    </row>
    <row r="10" spans="1:14" ht="20" x14ac:dyDescent="0.35">
      <c r="A10" s="2" t="s">
        <v>26</v>
      </c>
      <c r="B10" s="2">
        <v>226312680</v>
      </c>
      <c r="C10" s="2" t="s">
        <v>12</v>
      </c>
      <c r="D10" s="2" t="s">
        <v>13</v>
      </c>
      <c r="E10" s="2">
        <v>0.01</v>
      </c>
      <c r="F10" s="2">
        <v>60.033000000000001</v>
      </c>
      <c r="G10" s="2">
        <v>60.033000000000001</v>
      </c>
      <c r="H10" s="2"/>
      <c r="I10" s="2" t="s">
        <v>27</v>
      </c>
      <c r="J10" s="2">
        <v>60.042999999999999</v>
      </c>
      <c r="K10" s="2">
        <v>0</v>
      </c>
      <c r="L10" s="2">
        <v>0</v>
      </c>
      <c r="M10" s="11">
        <v>0.08</v>
      </c>
      <c r="N10" s="11"/>
    </row>
    <row r="11" spans="1:14" ht="20" x14ac:dyDescent="0.35">
      <c r="A11" s="3" t="s">
        <v>26</v>
      </c>
      <c r="B11" s="3">
        <v>226312693</v>
      </c>
      <c r="C11" s="3" t="s">
        <v>12</v>
      </c>
      <c r="D11" s="3" t="s">
        <v>13</v>
      </c>
      <c r="E11" s="3">
        <v>0.01</v>
      </c>
      <c r="F11" s="3">
        <v>60.033000000000001</v>
      </c>
      <c r="G11" s="3">
        <v>60.033000000000001</v>
      </c>
      <c r="H11" s="3"/>
      <c r="I11" s="3" t="s">
        <v>27</v>
      </c>
      <c r="J11" s="3">
        <v>60.042999999999999</v>
      </c>
      <c r="K11" s="3">
        <v>0</v>
      </c>
      <c r="L11" s="3">
        <v>0</v>
      </c>
      <c r="M11" s="10">
        <v>0.08</v>
      </c>
      <c r="N11" s="10"/>
    </row>
    <row r="12" spans="1:14" ht="20" x14ac:dyDescent="0.35">
      <c r="A12" s="2" t="s">
        <v>28</v>
      </c>
      <c r="B12" s="2">
        <v>226322504</v>
      </c>
      <c r="C12" s="2" t="s">
        <v>16</v>
      </c>
      <c r="D12" s="2" t="s">
        <v>23</v>
      </c>
      <c r="E12" s="2">
        <v>0.05</v>
      </c>
      <c r="F12" s="2">
        <v>1.40242</v>
      </c>
      <c r="G12" s="2">
        <v>1.4013199999999999</v>
      </c>
      <c r="H12" s="2"/>
      <c r="I12" s="2" t="s">
        <v>25</v>
      </c>
      <c r="J12" s="2">
        <v>1.4013199999999999</v>
      </c>
      <c r="K12" s="2">
        <v>0</v>
      </c>
      <c r="L12" s="2">
        <v>0</v>
      </c>
      <c r="M12" s="11">
        <v>2.92</v>
      </c>
      <c r="N12" s="11"/>
    </row>
    <row r="13" spans="1:14" ht="20" x14ac:dyDescent="0.35">
      <c r="A13" s="3" t="s">
        <v>28</v>
      </c>
      <c r="B13" s="3">
        <v>226322508</v>
      </c>
      <c r="C13" s="3" t="s">
        <v>16</v>
      </c>
      <c r="D13" s="3" t="s">
        <v>23</v>
      </c>
      <c r="E13" s="3">
        <v>0.05</v>
      </c>
      <c r="F13" s="3">
        <v>1.40242</v>
      </c>
      <c r="G13" s="3">
        <v>1.4013199999999999</v>
      </c>
      <c r="H13" s="3"/>
      <c r="I13" s="3" t="s">
        <v>29</v>
      </c>
      <c r="J13" s="3">
        <v>1.39896</v>
      </c>
      <c r="K13" s="3">
        <v>0</v>
      </c>
      <c r="L13" s="3">
        <v>0</v>
      </c>
      <c r="M13" s="10">
        <v>9.1999999999999993</v>
      </c>
      <c r="N13" s="10"/>
    </row>
    <row r="14" spans="1:14" ht="20" x14ac:dyDescent="0.35">
      <c r="A14" s="2" t="s">
        <v>30</v>
      </c>
      <c r="B14" s="2">
        <v>226611964</v>
      </c>
      <c r="C14" s="2" t="s">
        <v>31</v>
      </c>
      <c r="D14" s="2" t="s">
        <v>13</v>
      </c>
      <c r="E14" s="2">
        <v>0.01</v>
      </c>
      <c r="F14" s="2">
        <v>1.31446</v>
      </c>
      <c r="G14" s="2">
        <v>1.31446</v>
      </c>
      <c r="H14" s="2"/>
      <c r="I14" s="2" t="s">
        <v>32</v>
      </c>
      <c r="J14" s="2">
        <v>1.31446</v>
      </c>
      <c r="K14" s="2">
        <v>0</v>
      </c>
      <c r="L14" s="2">
        <v>0</v>
      </c>
      <c r="M14" s="11">
        <v>0</v>
      </c>
      <c r="N14" s="11"/>
    </row>
    <row r="15" spans="1:14" ht="20" x14ac:dyDescent="0.35">
      <c r="A15" s="3" t="s">
        <v>33</v>
      </c>
      <c r="B15" s="3">
        <v>226611970</v>
      </c>
      <c r="C15" s="3" t="s">
        <v>31</v>
      </c>
      <c r="D15" s="3" t="s">
        <v>13</v>
      </c>
      <c r="E15" s="3">
        <v>0.01</v>
      </c>
      <c r="F15" s="3">
        <v>1.31447</v>
      </c>
      <c r="G15" s="3">
        <v>1.31447</v>
      </c>
      <c r="H15" s="3"/>
      <c r="I15" s="3" t="s">
        <v>34</v>
      </c>
      <c r="J15" s="3">
        <v>1.31447</v>
      </c>
      <c r="K15" s="3">
        <v>0</v>
      </c>
      <c r="L15" s="3">
        <v>0</v>
      </c>
      <c r="M15" s="10">
        <v>0</v>
      </c>
      <c r="N15" s="10"/>
    </row>
    <row r="16" spans="1:14" ht="20" x14ac:dyDescent="0.35">
      <c r="A16" s="2" t="s">
        <v>35</v>
      </c>
      <c r="B16" s="2">
        <v>226760891</v>
      </c>
      <c r="C16" s="2" t="s">
        <v>36</v>
      </c>
      <c r="D16" s="2" t="s">
        <v>23</v>
      </c>
      <c r="E16" s="2">
        <v>0.01</v>
      </c>
      <c r="F16" s="2">
        <v>51.835000000000001</v>
      </c>
      <c r="G16" s="2">
        <v>50.177</v>
      </c>
      <c r="H16" s="2"/>
      <c r="I16" s="2" t="s">
        <v>37</v>
      </c>
      <c r="J16" s="2">
        <v>50.177</v>
      </c>
      <c r="K16" s="2">
        <v>0</v>
      </c>
      <c r="L16" s="2">
        <v>0.04</v>
      </c>
      <c r="M16" s="11">
        <v>12.34</v>
      </c>
      <c r="N16" s="11"/>
    </row>
    <row r="17" spans="1:14" ht="20" x14ac:dyDescent="0.35">
      <c r="A17" s="3" t="s">
        <v>35</v>
      </c>
      <c r="B17" s="3">
        <v>226760877</v>
      </c>
      <c r="C17" s="3" t="s">
        <v>36</v>
      </c>
      <c r="D17" s="3" t="s">
        <v>23</v>
      </c>
      <c r="E17" s="3">
        <v>0.01</v>
      </c>
      <c r="F17" s="3">
        <v>51.835000000000001</v>
      </c>
      <c r="G17" s="3">
        <v>51.835000000000001</v>
      </c>
      <c r="H17" s="3"/>
      <c r="I17" s="3" t="s">
        <v>38</v>
      </c>
      <c r="J17" s="3">
        <v>51.848999999999997</v>
      </c>
      <c r="K17" s="3">
        <v>0</v>
      </c>
      <c r="L17" s="3">
        <v>0.06</v>
      </c>
      <c r="M17" s="10">
        <v>-0.11</v>
      </c>
      <c r="N17" s="10"/>
    </row>
    <row r="18" spans="1:14" ht="20" x14ac:dyDescent="0.35">
      <c r="A18" s="2" t="s">
        <v>39</v>
      </c>
      <c r="B18" s="2">
        <v>226985160</v>
      </c>
      <c r="C18" s="2" t="s">
        <v>12</v>
      </c>
      <c r="D18" s="2" t="s">
        <v>13</v>
      </c>
      <c r="E18" s="2">
        <v>0.01</v>
      </c>
      <c r="F18" s="2">
        <v>60.277999999999999</v>
      </c>
      <c r="G18" s="2">
        <v>59.148000000000003</v>
      </c>
      <c r="H18" s="2"/>
      <c r="I18" s="2" t="s">
        <v>40</v>
      </c>
      <c r="J18" s="2">
        <v>59.14</v>
      </c>
      <c r="K18" s="2">
        <v>0</v>
      </c>
      <c r="L18" s="2">
        <v>0</v>
      </c>
      <c r="M18" s="11">
        <v>-8.84</v>
      </c>
      <c r="N18" s="11"/>
    </row>
    <row r="19" spans="1:14" ht="20" x14ac:dyDescent="0.35">
      <c r="A19" s="3" t="s">
        <v>39</v>
      </c>
      <c r="B19" s="3">
        <v>226985166</v>
      </c>
      <c r="C19" s="3" t="s">
        <v>12</v>
      </c>
      <c r="D19" s="3" t="s">
        <v>13</v>
      </c>
      <c r="E19" s="3">
        <v>0.01</v>
      </c>
      <c r="F19" s="3">
        <v>60.277999999999999</v>
      </c>
      <c r="G19" s="3">
        <v>59.148000000000003</v>
      </c>
      <c r="H19" s="3"/>
      <c r="I19" s="3" t="s">
        <v>40</v>
      </c>
      <c r="J19" s="3">
        <v>59.14</v>
      </c>
      <c r="K19" s="3">
        <v>0</v>
      </c>
      <c r="L19" s="3">
        <v>0</v>
      </c>
      <c r="M19" s="10">
        <v>-8.84</v>
      </c>
      <c r="N19" s="10"/>
    </row>
    <row r="20" spans="1:14" ht="20" x14ac:dyDescent="0.35">
      <c r="A20" s="2" t="s">
        <v>41</v>
      </c>
      <c r="B20" s="2">
        <v>227026879</v>
      </c>
      <c r="C20" s="2" t="s">
        <v>42</v>
      </c>
      <c r="D20" s="2" t="s">
        <v>23</v>
      </c>
      <c r="E20" s="2">
        <v>0.02</v>
      </c>
      <c r="F20" s="2">
        <v>6717.4</v>
      </c>
      <c r="G20" s="2">
        <v>6717.4</v>
      </c>
      <c r="H20" s="2"/>
      <c r="I20" s="2" t="s">
        <v>43</v>
      </c>
      <c r="J20" s="2">
        <v>6593.82</v>
      </c>
      <c r="K20" s="2">
        <v>0</v>
      </c>
      <c r="L20" s="2">
        <v>0</v>
      </c>
      <c r="M20" s="11">
        <v>18.79</v>
      </c>
      <c r="N20" s="11"/>
    </row>
    <row r="21" spans="1:14" ht="20" x14ac:dyDescent="0.35">
      <c r="A21" s="3" t="s">
        <v>41</v>
      </c>
      <c r="B21" s="3">
        <v>227026909</v>
      </c>
      <c r="C21" s="3" t="s">
        <v>42</v>
      </c>
      <c r="D21" s="3" t="s">
        <v>23</v>
      </c>
      <c r="E21" s="3">
        <v>0.02</v>
      </c>
      <c r="F21" s="3">
        <v>6717.4</v>
      </c>
      <c r="G21" s="3">
        <v>6717.4</v>
      </c>
      <c r="H21" s="3"/>
      <c r="I21" s="3" t="s">
        <v>44</v>
      </c>
      <c r="J21" s="3">
        <v>6717.4</v>
      </c>
      <c r="K21" s="3">
        <v>0</v>
      </c>
      <c r="L21" s="3">
        <v>0</v>
      </c>
      <c r="M21" s="10">
        <v>0</v>
      </c>
      <c r="N21" s="10"/>
    </row>
    <row r="22" spans="1:14" ht="20" x14ac:dyDescent="0.35">
      <c r="A22" s="2" t="s">
        <v>45</v>
      </c>
      <c r="B22" s="2">
        <v>227741621</v>
      </c>
      <c r="C22" s="2" t="s">
        <v>46</v>
      </c>
      <c r="D22" s="2" t="s">
        <v>13</v>
      </c>
      <c r="E22" s="2">
        <v>0.62</v>
      </c>
      <c r="F22" s="2">
        <v>1.1542699999999999</v>
      </c>
      <c r="G22" s="2">
        <v>1.1522600000000001</v>
      </c>
      <c r="H22" s="2"/>
      <c r="I22" s="2" t="s">
        <v>47</v>
      </c>
      <c r="J22" s="2">
        <v>1.1522600000000001</v>
      </c>
      <c r="K22" s="2">
        <v>0</v>
      </c>
      <c r="L22" s="2">
        <v>0</v>
      </c>
      <c r="M22" s="11">
        <v>-97.34</v>
      </c>
      <c r="N22" s="11"/>
    </row>
    <row r="23" spans="1:14" ht="20" x14ac:dyDescent="0.35">
      <c r="A23" s="3" t="s">
        <v>45</v>
      </c>
      <c r="B23" s="3">
        <v>227741592</v>
      </c>
      <c r="C23" s="3" t="s">
        <v>46</v>
      </c>
      <c r="D23" s="3" t="s">
        <v>13</v>
      </c>
      <c r="E23" s="3">
        <v>0.62</v>
      </c>
      <c r="F23" s="3">
        <v>1.1542699999999999</v>
      </c>
      <c r="G23" s="3">
        <v>1.1522600000000001</v>
      </c>
      <c r="H23" s="3"/>
      <c r="I23" s="3" t="s">
        <v>47</v>
      </c>
      <c r="J23" s="3">
        <v>1.1522600000000001</v>
      </c>
      <c r="K23" s="3">
        <v>0</v>
      </c>
      <c r="L23" s="3">
        <v>0</v>
      </c>
      <c r="M23" s="10">
        <v>-97.34</v>
      </c>
      <c r="N23" s="10"/>
    </row>
    <row r="24" spans="1:14" ht="20" x14ac:dyDescent="0.35">
      <c r="A24" s="2" t="s">
        <v>48</v>
      </c>
      <c r="B24" s="2">
        <v>228037618</v>
      </c>
      <c r="C24" s="2" t="s">
        <v>46</v>
      </c>
      <c r="D24" s="2" t="s">
        <v>13</v>
      </c>
      <c r="E24" s="2">
        <v>0.34</v>
      </c>
      <c r="F24" s="2">
        <v>1.1553199999999999</v>
      </c>
      <c r="G24" s="2">
        <v>1.1652400000000001</v>
      </c>
      <c r="H24" s="2"/>
      <c r="I24" s="2" t="s">
        <v>49</v>
      </c>
      <c r="J24" s="2">
        <v>1.1652400000000001</v>
      </c>
      <c r="K24" s="2">
        <v>0</v>
      </c>
      <c r="L24" s="2">
        <v>0</v>
      </c>
      <c r="M24" s="11">
        <v>248.11</v>
      </c>
      <c r="N24" s="11"/>
    </row>
    <row r="25" spans="1:14" ht="20" x14ac:dyDescent="0.35">
      <c r="A25" s="3" t="s">
        <v>48</v>
      </c>
      <c r="B25" s="3">
        <v>228037627</v>
      </c>
      <c r="C25" s="3" t="s">
        <v>46</v>
      </c>
      <c r="D25" s="3" t="s">
        <v>13</v>
      </c>
      <c r="E25" s="3">
        <v>0.34</v>
      </c>
      <c r="F25" s="3">
        <v>1.1553199999999999</v>
      </c>
      <c r="G25" s="3">
        <v>1.1652400000000001</v>
      </c>
      <c r="H25" s="3"/>
      <c r="I25" s="3" t="s">
        <v>49</v>
      </c>
      <c r="J25" s="3">
        <v>1.1652400000000001</v>
      </c>
      <c r="K25" s="3">
        <v>0</v>
      </c>
      <c r="L25" s="3">
        <v>0</v>
      </c>
      <c r="M25" s="10">
        <v>248.11</v>
      </c>
      <c r="N25" s="10"/>
    </row>
    <row r="26" spans="1:14" ht="20" x14ac:dyDescent="0.35">
      <c r="A26" s="2" t="s">
        <v>50</v>
      </c>
      <c r="B26" s="2">
        <v>228170298</v>
      </c>
      <c r="C26" s="2" t="s">
        <v>16</v>
      </c>
      <c r="D26" s="2" t="s">
        <v>23</v>
      </c>
      <c r="E26" s="2">
        <v>0.53</v>
      </c>
      <c r="F26" s="2">
        <v>1.40798</v>
      </c>
      <c r="G26" s="2">
        <v>1.39696</v>
      </c>
      <c r="H26" s="2"/>
      <c r="I26" s="2" t="s">
        <v>51</v>
      </c>
      <c r="J26" s="2">
        <v>1.39696</v>
      </c>
      <c r="K26" s="2">
        <v>0</v>
      </c>
      <c r="L26" s="2">
        <v>0</v>
      </c>
      <c r="M26" s="11">
        <v>307.41000000000003</v>
      </c>
      <c r="N26" s="11"/>
    </row>
    <row r="27" spans="1:14" ht="20" x14ac:dyDescent="0.35">
      <c r="A27" s="3" t="s">
        <v>50</v>
      </c>
      <c r="B27" s="3">
        <v>228170227</v>
      </c>
      <c r="C27" s="3" t="s">
        <v>16</v>
      </c>
      <c r="D27" s="3" t="s">
        <v>23</v>
      </c>
      <c r="E27" s="3">
        <v>0.53</v>
      </c>
      <c r="F27" s="3">
        <v>1.40798</v>
      </c>
      <c r="G27" s="3">
        <v>1.40798</v>
      </c>
      <c r="H27" s="3"/>
      <c r="I27" s="3" t="s">
        <v>52</v>
      </c>
      <c r="J27" s="3">
        <v>1.39758</v>
      </c>
      <c r="K27" s="3">
        <v>0</v>
      </c>
      <c r="L27" s="3">
        <v>0</v>
      </c>
      <c r="M27" s="10">
        <v>292.19</v>
      </c>
      <c r="N27" s="10"/>
    </row>
    <row r="28" spans="1:14" ht="20" x14ac:dyDescent="0.35">
      <c r="A28" s="2" t="s">
        <v>53</v>
      </c>
      <c r="B28" s="2">
        <v>228563102</v>
      </c>
      <c r="C28" s="2" t="s">
        <v>12</v>
      </c>
      <c r="D28" s="2" t="s">
        <v>13</v>
      </c>
      <c r="E28" s="2">
        <v>0.31</v>
      </c>
      <c r="F28" s="2">
        <v>58.228000000000002</v>
      </c>
      <c r="G28" s="2">
        <v>58.228000000000002</v>
      </c>
      <c r="H28" s="2"/>
      <c r="I28" s="2" t="s">
        <v>54</v>
      </c>
      <c r="J28" s="2">
        <v>59.494</v>
      </c>
      <c r="K28" s="2">
        <v>0</v>
      </c>
      <c r="L28" s="2">
        <v>0</v>
      </c>
      <c r="M28" s="11">
        <v>290.36</v>
      </c>
      <c r="N28" s="11"/>
    </row>
    <row r="29" spans="1:14" ht="20" x14ac:dyDescent="0.35">
      <c r="A29" s="3" t="s">
        <v>53</v>
      </c>
      <c r="B29" s="3">
        <v>228563113</v>
      </c>
      <c r="C29" s="3" t="s">
        <v>12</v>
      </c>
      <c r="D29" s="3" t="s">
        <v>13</v>
      </c>
      <c r="E29" s="3">
        <v>0.31</v>
      </c>
      <c r="F29" s="3">
        <v>58.228000000000002</v>
      </c>
      <c r="G29" s="3">
        <v>58.228000000000002</v>
      </c>
      <c r="H29" s="3"/>
      <c r="I29" s="3" t="s">
        <v>55</v>
      </c>
      <c r="J29" s="3">
        <v>58.232999999999997</v>
      </c>
      <c r="K29" s="3">
        <v>0</v>
      </c>
      <c r="L29" s="3">
        <v>0</v>
      </c>
      <c r="M29" s="10">
        <v>1.1499999999999999</v>
      </c>
      <c r="N29" s="10"/>
    </row>
    <row r="30" spans="1:14" ht="20" x14ac:dyDescent="0.35">
      <c r="A30" s="2" t="s">
        <v>56</v>
      </c>
      <c r="B30" s="2">
        <v>228976131</v>
      </c>
      <c r="C30" s="2" t="s">
        <v>42</v>
      </c>
      <c r="D30" s="2" t="s">
        <v>23</v>
      </c>
      <c r="E30" s="2">
        <v>1.07</v>
      </c>
      <c r="F30" s="2">
        <v>6794.47</v>
      </c>
      <c r="G30" s="2">
        <v>6816.56</v>
      </c>
      <c r="H30" s="2"/>
      <c r="I30" s="2" t="s">
        <v>57</v>
      </c>
      <c r="J30" s="2">
        <v>6816.7</v>
      </c>
      <c r="K30" s="2">
        <v>0</v>
      </c>
      <c r="L30" s="2">
        <v>0</v>
      </c>
      <c r="M30" s="11">
        <v>-179.56</v>
      </c>
      <c r="N30" s="11"/>
    </row>
    <row r="31" spans="1:14" ht="20" x14ac:dyDescent="0.35">
      <c r="A31" s="3" t="s">
        <v>56</v>
      </c>
      <c r="B31" s="3">
        <v>228976140</v>
      </c>
      <c r="C31" s="3" t="s">
        <v>42</v>
      </c>
      <c r="D31" s="3" t="s">
        <v>23</v>
      </c>
      <c r="E31" s="3">
        <v>1.07</v>
      </c>
      <c r="F31" s="3">
        <v>6794.47</v>
      </c>
      <c r="G31" s="3">
        <v>6816.56</v>
      </c>
      <c r="H31" s="3"/>
      <c r="I31" s="3" t="s">
        <v>57</v>
      </c>
      <c r="J31" s="3">
        <v>6816.35</v>
      </c>
      <c r="K31" s="3">
        <v>0</v>
      </c>
      <c r="L31" s="3">
        <v>0</v>
      </c>
      <c r="M31" s="10">
        <v>-176.74</v>
      </c>
      <c r="N31" s="10"/>
    </row>
    <row r="32" spans="1:14" ht="20" x14ac:dyDescent="0.35">
      <c r="A32" s="2" t="s">
        <v>58</v>
      </c>
      <c r="B32" s="2">
        <v>229352723</v>
      </c>
      <c r="C32" s="2" t="s">
        <v>12</v>
      </c>
      <c r="D32" s="2" t="s">
        <v>13</v>
      </c>
      <c r="E32" s="2">
        <v>0.28000000000000003</v>
      </c>
      <c r="F32" s="2">
        <v>59.258000000000003</v>
      </c>
      <c r="G32" s="2">
        <v>59.258000000000003</v>
      </c>
      <c r="H32" s="2"/>
      <c r="I32" s="2" t="s">
        <v>59</v>
      </c>
      <c r="J32" s="2">
        <v>59.253</v>
      </c>
      <c r="K32" s="2">
        <v>0</v>
      </c>
      <c r="L32" s="2">
        <v>0</v>
      </c>
      <c r="M32" s="11">
        <v>-1.07</v>
      </c>
      <c r="N32" s="11"/>
    </row>
    <row r="33" spans="1:14" ht="20" x14ac:dyDescent="0.35">
      <c r="A33" s="3" t="s">
        <v>58</v>
      </c>
      <c r="B33" s="3">
        <v>229352581</v>
      </c>
      <c r="C33" s="3" t="s">
        <v>12</v>
      </c>
      <c r="D33" s="3" t="s">
        <v>13</v>
      </c>
      <c r="E33" s="3">
        <v>0.28000000000000003</v>
      </c>
      <c r="F33" s="3">
        <v>59.258000000000003</v>
      </c>
      <c r="G33" s="3">
        <v>59.258000000000003</v>
      </c>
      <c r="H33" s="3"/>
      <c r="I33" s="3" t="s">
        <v>59</v>
      </c>
      <c r="J33" s="3">
        <v>59.253</v>
      </c>
      <c r="K33" s="3">
        <v>0</v>
      </c>
      <c r="L33" s="3">
        <v>0</v>
      </c>
      <c r="M33" s="10">
        <v>-1.07</v>
      </c>
      <c r="N33" s="10"/>
    </row>
    <row r="34" spans="1:14" ht="20" x14ac:dyDescent="0.35">
      <c r="A34" s="2" t="s">
        <v>60</v>
      </c>
      <c r="B34" s="2">
        <v>229836819</v>
      </c>
      <c r="C34" s="2" t="s">
        <v>42</v>
      </c>
      <c r="D34" s="2" t="s">
        <v>23</v>
      </c>
      <c r="E34" s="2">
        <v>0.88</v>
      </c>
      <c r="F34" s="2">
        <v>6853.7</v>
      </c>
      <c r="G34" s="2">
        <v>6853.7</v>
      </c>
      <c r="H34" s="2"/>
      <c r="I34" s="2" t="s">
        <v>61</v>
      </c>
      <c r="J34" s="2">
        <v>6854.09</v>
      </c>
      <c r="K34" s="2">
        <v>0</v>
      </c>
      <c r="L34" s="2">
        <v>0</v>
      </c>
      <c r="M34" s="11">
        <v>-2.57</v>
      </c>
      <c r="N34" s="11"/>
    </row>
    <row r="35" spans="1:14" ht="20" x14ac:dyDescent="0.35">
      <c r="A35" s="3" t="s">
        <v>60</v>
      </c>
      <c r="B35" s="3">
        <v>229836843</v>
      </c>
      <c r="C35" s="3" t="s">
        <v>42</v>
      </c>
      <c r="D35" s="3" t="s">
        <v>23</v>
      </c>
      <c r="E35" s="3">
        <v>0.88</v>
      </c>
      <c r="F35" s="3">
        <v>6853.7</v>
      </c>
      <c r="G35" s="3">
        <v>6853.7</v>
      </c>
      <c r="H35" s="3"/>
      <c r="I35" s="3" t="s">
        <v>61</v>
      </c>
      <c r="J35" s="3">
        <v>6854.09</v>
      </c>
      <c r="K35" s="3">
        <v>0</v>
      </c>
      <c r="L35" s="3">
        <v>0</v>
      </c>
      <c r="M35" s="10">
        <v>-2.57</v>
      </c>
      <c r="N35" s="10"/>
    </row>
    <row r="36" spans="1:14" ht="20" x14ac:dyDescent="0.35">
      <c r="A36" s="2" t="s">
        <v>62</v>
      </c>
      <c r="B36" s="2">
        <v>230172315</v>
      </c>
      <c r="C36" s="2" t="s">
        <v>46</v>
      </c>
      <c r="D36" s="2" t="s">
        <v>13</v>
      </c>
      <c r="E36" s="2">
        <v>1.2</v>
      </c>
      <c r="F36" s="2">
        <v>1.16418</v>
      </c>
      <c r="G36" s="2">
        <v>1.17509</v>
      </c>
      <c r="H36" s="2"/>
      <c r="I36" s="2" t="s">
        <v>63</v>
      </c>
      <c r="J36" s="2">
        <v>1.17509</v>
      </c>
      <c r="K36" s="2">
        <v>0</v>
      </c>
      <c r="L36" s="2">
        <v>0</v>
      </c>
      <c r="M36" s="11">
        <v>956.61</v>
      </c>
      <c r="N36" s="11"/>
    </row>
    <row r="37" spans="1:14" ht="20" x14ac:dyDescent="0.35">
      <c r="A37" s="3" t="s">
        <v>62</v>
      </c>
      <c r="B37" s="3">
        <v>230172296</v>
      </c>
      <c r="C37" s="3" t="s">
        <v>46</v>
      </c>
      <c r="D37" s="3" t="s">
        <v>13</v>
      </c>
      <c r="E37" s="3">
        <v>1.2</v>
      </c>
      <c r="F37" s="3">
        <v>1.16418</v>
      </c>
      <c r="G37" s="3">
        <v>1.16418</v>
      </c>
      <c r="H37" s="3"/>
      <c r="I37" s="3" t="s">
        <v>64</v>
      </c>
      <c r="J37" s="3">
        <v>1.1696899999999999</v>
      </c>
      <c r="K37" s="3">
        <v>0</v>
      </c>
      <c r="L37" s="3">
        <v>0</v>
      </c>
      <c r="M37" s="10">
        <v>484.12</v>
      </c>
      <c r="N37" s="10"/>
    </row>
    <row r="38" spans="1:14" ht="20" x14ac:dyDescent="0.35">
      <c r="A38" s="2" t="s">
        <v>65</v>
      </c>
      <c r="B38" s="2">
        <v>230589229</v>
      </c>
      <c r="C38" s="2" t="s">
        <v>42</v>
      </c>
      <c r="D38" s="2" t="s">
        <v>23</v>
      </c>
      <c r="E38" s="2">
        <v>1.33</v>
      </c>
      <c r="F38" s="2">
        <v>6891.15</v>
      </c>
      <c r="G38" s="2">
        <v>6891.15</v>
      </c>
      <c r="H38" s="2"/>
      <c r="I38" s="2" t="s">
        <v>66</v>
      </c>
      <c r="J38" s="2">
        <v>6829.57</v>
      </c>
      <c r="K38" s="2">
        <v>0</v>
      </c>
      <c r="L38" s="2">
        <v>0</v>
      </c>
      <c r="M38" s="11">
        <v>613.33000000000004</v>
      </c>
      <c r="N38" s="11"/>
    </row>
    <row r="39" spans="1:14" ht="20" x14ac:dyDescent="0.35">
      <c r="A39" s="3" t="s">
        <v>65</v>
      </c>
      <c r="B39" s="3">
        <v>230589246</v>
      </c>
      <c r="C39" s="3" t="s">
        <v>42</v>
      </c>
      <c r="D39" s="3" t="s">
        <v>23</v>
      </c>
      <c r="E39" s="3">
        <v>1.33</v>
      </c>
      <c r="F39" s="3">
        <v>6891.15</v>
      </c>
      <c r="G39" s="3">
        <v>6739.08</v>
      </c>
      <c r="H39" s="3"/>
      <c r="I39" s="3" t="s">
        <v>67</v>
      </c>
      <c r="J39" s="3">
        <v>6739.1</v>
      </c>
      <c r="K39" s="3">
        <v>0</v>
      </c>
      <c r="L39" s="3">
        <v>0</v>
      </c>
      <c r="M39" s="10" t="s">
        <v>68</v>
      </c>
      <c r="N39" s="10"/>
    </row>
    <row r="40" spans="1:14" ht="20" x14ac:dyDescent="0.35">
      <c r="A40" s="2" t="s">
        <v>69</v>
      </c>
      <c r="B40" s="2">
        <v>231613445</v>
      </c>
      <c r="C40" s="2" t="s">
        <v>12</v>
      </c>
      <c r="D40" s="2" t="s">
        <v>13</v>
      </c>
      <c r="E40" s="2">
        <v>0.64</v>
      </c>
      <c r="F40" s="2">
        <v>56.497999999999998</v>
      </c>
      <c r="G40" s="2">
        <v>57.183</v>
      </c>
      <c r="H40" s="2"/>
      <c r="I40" s="2" t="s">
        <v>70</v>
      </c>
      <c r="J40" s="2">
        <v>57.183</v>
      </c>
      <c r="K40" s="2">
        <v>0</v>
      </c>
      <c r="L40" s="2">
        <v>0.19</v>
      </c>
      <c r="M40" s="11">
        <v>318.56</v>
      </c>
      <c r="N40" s="11"/>
    </row>
    <row r="41" spans="1:14" ht="20" x14ac:dyDescent="0.35">
      <c r="A41" s="3" t="s">
        <v>69</v>
      </c>
      <c r="B41" s="3">
        <v>231613416</v>
      </c>
      <c r="C41" s="3" t="s">
        <v>12</v>
      </c>
      <c r="D41" s="3" t="s">
        <v>13</v>
      </c>
      <c r="E41" s="3">
        <v>0.64</v>
      </c>
      <c r="F41" s="3">
        <v>56.497999999999998</v>
      </c>
      <c r="G41" s="3">
        <v>57.540999999999997</v>
      </c>
      <c r="H41" s="3"/>
      <c r="I41" s="3" t="s">
        <v>71</v>
      </c>
      <c r="J41" s="3">
        <v>57.843000000000004</v>
      </c>
      <c r="K41" s="3">
        <v>0</v>
      </c>
      <c r="L41" s="3">
        <v>0</v>
      </c>
      <c r="M41" s="10">
        <v>627.88</v>
      </c>
      <c r="N41" s="10"/>
    </row>
    <row r="42" spans="1:14" ht="20" x14ac:dyDescent="0.35">
      <c r="A42" s="2" t="s">
        <v>72</v>
      </c>
      <c r="B42" s="2">
        <v>231604158</v>
      </c>
      <c r="C42" s="2" t="s">
        <v>42</v>
      </c>
      <c r="D42" s="2" t="s">
        <v>13</v>
      </c>
      <c r="E42" s="2">
        <v>0.77</v>
      </c>
      <c r="F42" s="2">
        <v>6815.2</v>
      </c>
      <c r="G42" s="2">
        <v>6961.93</v>
      </c>
      <c r="H42" s="2"/>
      <c r="I42" s="2" t="s">
        <v>73</v>
      </c>
      <c r="J42" s="2">
        <v>6960.78</v>
      </c>
      <c r="K42" s="2">
        <v>0</v>
      </c>
      <c r="L42" s="2">
        <v>-106.58</v>
      </c>
      <c r="M42" s="11">
        <v>833.28</v>
      </c>
      <c r="N42" s="11"/>
    </row>
    <row r="43" spans="1:14" ht="20" x14ac:dyDescent="0.35">
      <c r="A43" s="3" t="s">
        <v>72</v>
      </c>
      <c r="B43" s="3">
        <v>231604124</v>
      </c>
      <c r="C43" s="3" t="s">
        <v>42</v>
      </c>
      <c r="D43" s="3" t="s">
        <v>13</v>
      </c>
      <c r="E43" s="3">
        <v>0.77</v>
      </c>
      <c r="F43" s="3">
        <v>6815.2</v>
      </c>
      <c r="G43" s="3">
        <v>6919.88</v>
      </c>
      <c r="H43" s="3"/>
      <c r="I43" s="3" t="s">
        <v>74</v>
      </c>
      <c r="J43" s="3">
        <v>6919.7</v>
      </c>
      <c r="K43" s="3">
        <v>0</v>
      </c>
      <c r="L43" s="3">
        <v>0</v>
      </c>
      <c r="M43" s="10">
        <v>596.38</v>
      </c>
      <c r="N43" s="10"/>
    </row>
    <row r="44" spans="1:14" ht="20" x14ac:dyDescent="0.35">
      <c r="A44" s="2" t="s">
        <v>75</v>
      </c>
      <c r="B44" s="2">
        <v>232552816</v>
      </c>
      <c r="C44" s="2" t="s">
        <v>76</v>
      </c>
      <c r="D44" s="2" t="s">
        <v>23</v>
      </c>
      <c r="E44" s="2">
        <v>0.09</v>
      </c>
      <c r="F44" s="2">
        <v>4472.6099999999997</v>
      </c>
      <c r="G44" s="2">
        <v>4472.6099999999997</v>
      </c>
      <c r="H44" s="2"/>
      <c r="I44" s="2" t="s">
        <v>77</v>
      </c>
      <c r="J44" s="2">
        <v>4317.71</v>
      </c>
      <c r="K44" s="2">
        <v>0</v>
      </c>
      <c r="L44" s="2">
        <v>0</v>
      </c>
      <c r="M44" s="11" t="s">
        <v>78</v>
      </c>
      <c r="N44" s="11"/>
    </row>
    <row r="45" spans="1:14" ht="20" x14ac:dyDescent="0.35">
      <c r="A45" s="3" t="s">
        <v>75</v>
      </c>
      <c r="B45" s="3">
        <v>232552929</v>
      </c>
      <c r="C45" s="3" t="s">
        <v>76</v>
      </c>
      <c r="D45" s="3" t="s">
        <v>23</v>
      </c>
      <c r="E45" s="3">
        <v>0.09</v>
      </c>
      <c r="F45" s="3">
        <v>4472.6099999999997</v>
      </c>
      <c r="G45" s="3">
        <v>4472.6099999999997</v>
      </c>
      <c r="H45" s="3"/>
      <c r="I45" s="3" t="s">
        <v>79</v>
      </c>
      <c r="J45" s="3">
        <v>4472.7700000000004</v>
      </c>
      <c r="K45" s="3">
        <v>0</v>
      </c>
      <c r="L45" s="3">
        <v>2.0299999999999998</v>
      </c>
      <c r="M45" s="10">
        <v>-1.06</v>
      </c>
      <c r="N45" s="10"/>
    </row>
    <row r="46" spans="1:14" ht="20" x14ac:dyDescent="0.35">
      <c r="A46" s="2" t="s">
        <v>80</v>
      </c>
      <c r="B46" s="2">
        <v>233136916</v>
      </c>
      <c r="C46" s="2" t="s">
        <v>12</v>
      </c>
      <c r="D46" s="2" t="s">
        <v>23</v>
      </c>
      <c r="E46" s="2">
        <v>1.1000000000000001</v>
      </c>
      <c r="F46" s="2">
        <v>57.063000000000002</v>
      </c>
      <c r="G46" s="2">
        <v>57.063000000000002</v>
      </c>
      <c r="H46" s="2"/>
      <c r="I46" s="2" t="s">
        <v>81</v>
      </c>
      <c r="J46" s="2">
        <v>57.078000000000003</v>
      </c>
      <c r="K46" s="2">
        <v>0</v>
      </c>
      <c r="L46" s="2">
        <v>0</v>
      </c>
      <c r="M46" s="11">
        <v>-12.53</v>
      </c>
      <c r="N46" s="11"/>
    </row>
    <row r="47" spans="1:14" ht="20" x14ac:dyDescent="0.35">
      <c r="A47" s="3" t="s">
        <v>80</v>
      </c>
      <c r="B47" s="3">
        <v>233136959</v>
      </c>
      <c r="C47" s="3" t="s">
        <v>12</v>
      </c>
      <c r="D47" s="3" t="s">
        <v>23</v>
      </c>
      <c r="E47" s="3">
        <v>1.1000000000000001</v>
      </c>
      <c r="F47" s="3">
        <v>57.063000000000002</v>
      </c>
      <c r="G47" s="3">
        <v>57.063000000000002</v>
      </c>
      <c r="H47" s="3"/>
      <c r="I47" s="3" t="s">
        <v>81</v>
      </c>
      <c r="J47" s="3">
        <v>57.078000000000003</v>
      </c>
      <c r="K47" s="3">
        <v>0</v>
      </c>
      <c r="L47" s="3">
        <v>0</v>
      </c>
      <c r="M47" s="10">
        <v>-12.53</v>
      </c>
      <c r="N47" s="10"/>
    </row>
    <row r="48" spans="1:14" ht="20" x14ac:dyDescent="0.35">
      <c r="A48" s="2" t="s">
        <v>82</v>
      </c>
      <c r="B48" s="2">
        <v>233339301</v>
      </c>
      <c r="C48" s="2" t="s">
        <v>83</v>
      </c>
      <c r="D48" s="2" t="s">
        <v>23</v>
      </c>
      <c r="E48" s="2">
        <v>0.99</v>
      </c>
      <c r="F48" s="2">
        <v>156.499</v>
      </c>
      <c r="G48" s="2">
        <v>157.75700000000001</v>
      </c>
      <c r="H48" s="2"/>
      <c r="I48" s="2" t="s">
        <v>84</v>
      </c>
      <c r="J48" s="2">
        <v>157.40100000000001</v>
      </c>
      <c r="K48" s="2">
        <v>0</v>
      </c>
      <c r="L48" s="2">
        <v>0</v>
      </c>
      <c r="M48" s="11">
        <v>-430.92</v>
      </c>
      <c r="N48" s="11"/>
    </row>
    <row r="49" spans="1:14" ht="20" x14ac:dyDescent="0.35">
      <c r="A49" s="3" t="s">
        <v>82</v>
      </c>
      <c r="B49" s="3">
        <v>233339358</v>
      </c>
      <c r="C49" s="3" t="s">
        <v>83</v>
      </c>
      <c r="D49" s="3" t="s">
        <v>23</v>
      </c>
      <c r="E49" s="3">
        <v>0.99</v>
      </c>
      <c r="F49" s="3">
        <v>156.499</v>
      </c>
      <c r="G49" s="3">
        <v>157.75700000000001</v>
      </c>
      <c r="H49" s="3"/>
      <c r="I49" s="3" t="s">
        <v>85</v>
      </c>
      <c r="J49" s="3">
        <v>157.39699999999999</v>
      </c>
      <c r="K49" s="3">
        <v>0</v>
      </c>
      <c r="L49" s="3">
        <v>0</v>
      </c>
      <c r="M49" s="10">
        <v>-429.01</v>
      </c>
      <c r="N49" s="10"/>
    </row>
    <row r="50" spans="1:14" ht="20" x14ac:dyDescent="0.35">
      <c r="A50" s="2" t="s">
        <v>86</v>
      </c>
      <c r="B50" s="2">
        <v>233959049</v>
      </c>
      <c r="C50" s="2" t="s">
        <v>12</v>
      </c>
      <c r="D50" s="2" t="s">
        <v>13</v>
      </c>
      <c r="E50" s="2">
        <v>1.39</v>
      </c>
      <c r="F50" s="2">
        <v>56.573</v>
      </c>
      <c r="G50" s="2">
        <v>56.02</v>
      </c>
      <c r="H50" s="2"/>
      <c r="I50" s="2" t="s">
        <v>87</v>
      </c>
      <c r="J50" s="2">
        <v>56.02</v>
      </c>
      <c r="K50" s="2">
        <v>0</v>
      </c>
      <c r="L50" s="2">
        <v>0</v>
      </c>
      <c r="M50" s="11">
        <v>-581.94000000000005</v>
      </c>
      <c r="N50" s="11"/>
    </row>
    <row r="51" spans="1:14" ht="20" x14ac:dyDescent="0.35">
      <c r="A51" s="3" t="s">
        <v>86</v>
      </c>
      <c r="B51" s="3">
        <v>233959108</v>
      </c>
      <c r="C51" s="3" t="s">
        <v>12</v>
      </c>
      <c r="D51" s="3" t="s">
        <v>13</v>
      </c>
      <c r="E51" s="3">
        <v>1.39</v>
      </c>
      <c r="F51" s="3">
        <v>56.573</v>
      </c>
      <c r="G51" s="3">
        <v>56.02</v>
      </c>
      <c r="H51" s="3"/>
      <c r="I51" s="3" t="s">
        <v>87</v>
      </c>
      <c r="J51" s="3">
        <v>56.02</v>
      </c>
      <c r="K51" s="3">
        <v>0</v>
      </c>
      <c r="L51" s="3">
        <v>0</v>
      </c>
      <c r="M51" s="10">
        <v>-581.94000000000005</v>
      </c>
      <c r="N51" s="10"/>
    </row>
    <row r="52" spans="1:14" ht="20" x14ac:dyDescent="0.35">
      <c r="A52" s="2" t="s">
        <v>88</v>
      </c>
      <c r="B52" s="2">
        <v>234237077</v>
      </c>
      <c r="C52" s="2" t="s">
        <v>12</v>
      </c>
      <c r="D52" s="2" t="s">
        <v>13</v>
      </c>
      <c r="E52" s="2">
        <v>1.0900000000000001</v>
      </c>
      <c r="F52" s="2">
        <v>56.378</v>
      </c>
      <c r="G52" s="2">
        <v>60.146999999999998</v>
      </c>
      <c r="H52" s="2"/>
      <c r="I52" s="2" t="s">
        <v>89</v>
      </c>
      <c r="J52" s="2">
        <v>60.146999999999998</v>
      </c>
      <c r="K52" s="2">
        <v>0</v>
      </c>
      <c r="L52" s="2">
        <v>0</v>
      </c>
      <c r="M52" s="11" t="s">
        <v>90</v>
      </c>
      <c r="N52" s="11"/>
    </row>
    <row r="53" spans="1:14" ht="20" x14ac:dyDescent="0.35">
      <c r="A53" s="3" t="s">
        <v>88</v>
      </c>
      <c r="B53" s="3">
        <v>234237026</v>
      </c>
      <c r="C53" s="3" t="s">
        <v>12</v>
      </c>
      <c r="D53" s="3" t="s">
        <v>13</v>
      </c>
      <c r="E53" s="3">
        <v>1.0900000000000001</v>
      </c>
      <c r="F53" s="3">
        <v>56.378</v>
      </c>
      <c r="G53" s="3">
        <v>56.378</v>
      </c>
      <c r="H53" s="3"/>
      <c r="I53" s="3" t="s">
        <v>91</v>
      </c>
      <c r="J53" s="3">
        <v>57.593000000000004</v>
      </c>
      <c r="K53" s="3">
        <v>0</v>
      </c>
      <c r="L53" s="3">
        <v>0</v>
      </c>
      <c r="M53" s="10">
        <v>966.64</v>
      </c>
      <c r="N53" s="10"/>
    </row>
    <row r="54" spans="1:14" ht="20" x14ac:dyDescent="0.35">
      <c r="A54" s="2" t="s">
        <v>92</v>
      </c>
      <c r="B54" s="2">
        <v>234246785</v>
      </c>
      <c r="C54" s="2" t="s">
        <v>42</v>
      </c>
      <c r="D54" s="2" t="s">
        <v>13</v>
      </c>
      <c r="E54" s="2">
        <v>1.96</v>
      </c>
      <c r="F54" s="2">
        <v>6925.79</v>
      </c>
      <c r="G54" s="2">
        <v>6925.79</v>
      </c>
      <c r="H54" s="2"/>
      <c r="I54" s="2" t="s">
        <v>93</v>
      </c>
      <c r="J54" s="2">
        <v>6925.45</v>
      </c>
      <c r="K54" s="2">
        <v>0</v>
      </c>
      <c r="L54" s="2">
        <v>0</v>
      </c>
      <c r="M54" s="11">
        <v>-4.96</v>
      </c>
      <c r="N54" s="11"/>
    </row>
    <row r="55" spans="1:14" ht="20" x14ac:dyDescent="0.35">
      <c r="A55" s="3" t="s">
        <v>92</v>
      </c>
      <c r="B55" s="3">
        <v>234246730</v>
      </c>
      <c r="C55" s="3" t="s">
        <v>42</v>
      </c>
      <c r="D55" s="3" t="s">
        <v>13</v>
      </c>
      <c r="E55" s="3">
        <v>1.96</v>
      </c>
      <c r="F55" s="3">
        <v>6925.92</v>
      </c>
      <c r="G55" s="3">
        <v>6940.79</v>
      </c>
      <c r="H55" s="3"/>
      <c r="I55" s="3" t="s">
        <v>94</v>
      </c>
      <c r="J55" s="3">
        <v>6940.78</v>
      </c>
      <c r="K55" s="3">
        <v>0</v>
      </c>
      <c r="L55" s="3">
        <v>0</v>
      </c>
      <c r="M55" s="10">
        <v>216.91</v>
      </c>
      <c r="N55" s="10"/>
    </row>
    <row r="56" spans="1:14" ht="20" x14ac:dyDescent="0.35">
      <c r="A56" s="2" t="s">
        <v>95</v>
      </c>
      <c r="B56" s="2">
        <v>235855896</v>
      </c>
      <c r="C56" s="2" t="s">
        <v>76</v>
      </c>
      <c r="D56" s="2" t="s">
        <v>23</v>
      </c>
      <c r="E56" s="2">
        <v>0.14000000000000001</v>
      </c>
      <c r="F56" s="2">
        <v>4582.8599999999997</v>
      </c>
      <c r="G56" s="2">
        <v>4620.63</v>
      </c>
      <c r="H56" s="2"/>
      <c r="I56" s="2" t="s">
        <v>96</v>
      </c>
      <c r="J56" s="2">
        <v>4639.32</v>
      </c>
      <c r="K56" s="2">
        <v>0</v>
      </c>
      <c r="L56" s="2">
        <v>0</v>
      </c>
      <c r="M56" s="11">
        <v>-591.83000000000004</v>
      </c>
      <c r="N56" s="11"/>
    </row>
    <row r="57" spans="1:14" ht="20" x14ac:dyDescent="0.35">
      <c r="A57" s="3" t="s">
        <v>95</v>
      </c>
      <c r="B57" s="3">
        <v>235855735</v>
      </c>
      <c r="C57" s="3" t="s">
        <v>76</v>
      </c>
      <c r="D57" s="3" t="s">
        <v>23</v>
      </c>
      <c r="E57" s="3">
        <v>0.14000000000000001</v>
      </c>
      <c r="F57" s="3">
        <v>4582.8599999999997</v>
      </c>
      <c r="G57" s="3">
        <v>4621.05</v>
      </c>
      <c r="H57" s="3"/>
      <c r="I57" s="3" t="s">
        <v>96</v>
      </c>
      <c r="J57" s="3">
        <v>4639.32</v>
      </c>
      <c r="K57" s="3">
        <v>0</v>
      </c>
      <c r="L57" s="3">
        <v>0</v>
      </c>
      <c r="M57" s="10">
        <v>-591.83000000000004</v>
      </c>
      <c r="N57" s="10"/>
    </row>
    <row r="58" spans="1:14" ht="20" x14ac:dyDescent="0.35">
      <c r="A58" s="2" t="s">
        <v>97</v>
      </c>
      <c r="B58" s="2">
        <v>236487371</v>
      </c>
      <c r="C58" s="2" t="s">
        <v>31</v>
      </c>
      <c r="D58" s="2" t="s">
        <v>13</v>
      </c>
      <c r="E58" s="2">
        <v>1.1200000000000001</v>
      </c>
      <c r="F58" s="2">
        <v>1.3413900000000001</v>
      </c>
      <c r="G58" s="2">
        <v>1.3687400000000001</v>
      </c>
      <c r="H58" s="2"/>
      <c r="I58" s="2" t="s">
        <v>98</v>
      </c>
      <c r="J58" s="2">
        <v>1.3687400000000001</v>
      </c>
      <c r="K58" s="2">
        <v>0</v>
      </c>
      <c r="L58" s="2">
        <v>0</v>
      </c>
      <c r="M58" s="11" t="s">
        <v>99</v>
      </c>
      <c r="N58" s="11"/>
    </row>
    <row r="59" spans="1:14" ht="20" x14ac:dyDescent="0.35">
      <c r="A59" s="3" t="s">
        <v>100</v>
      </c>
      <c r="B59" s="3">
        <v>236487313</v>
      </c>
      <c r="C59" s="3" t="s">
        <v>31</v>
      </c>
      <c r="D59" s="3" t="s">
        <v>13</v>
      </c>
      <c r="E59" s="3">
        <v>1.1200000000000001</v>
      </c>
      <c r="F59" s="3">
        <v>1.3413900000000001</v>
      </c>
      <c r="G59" s="3">
        <v>1.3413900000000001</v>
      </c>
      <c r="H59" s="3"/>
      <c r="I59" s="3" t="s">
        <v>101</v>
      </c>
      <c r="J59" s="3">
        <v>1.35605</v>
      </c>
      <c r="K59" s="3">
        <v>0</v>
      </c>
      <c r="L59" s="3">
        <v>0</v>
      </c>
      <c r="M59" s="10" t="s">
        <v>102</v>
      </c>
      <c r="N59" s="10"/>
    </row>
    <row r="60" spans="1:14" ht="20" x14ac:dyDescent="0.35">
      <c r="A60" s="2" t="s">
        <v>103</v>
      </c>
      <c r="B60" s="2">
        <v>240080698</v>
      </c>
      <c r="C60" s="2" t="s">
        <v>42</v>
      </c>
      <c r="D60" s="2" t="s">
        <v>23</v>
      </c>
      <c r="E60" s="2">
        <v>1.93</v>
      </c>
      <c r="F60" s="2">
        <v>6954.35</v>
      </c>
      <c r="G60" s="2">
        <v>6954.35</v>
      </c>
      <c r="H60" s="2"/>
      <c r="I60" s="2" t="s">
        <v>104</v>
      </c>
      <c r="J60" s="2">
        <v>6955.46</v>
      </c>
      <c r="K60" s="2">
        <v>0</v>
      </c>
      <c r="L60" s="2">
        <v>0</v>
      </c>
      <c r="M60" s="11">
        <v>-15.52</v>
      </c>
      <c r="N60" s="11"/>
    </row>
    <row r="61" spans="1:14" ht="20" x14ac:dyDescent="0.35">
      <c r="A61" s="3" t="s">
        <v>103</v>
      </c>
      <c r="B61" s="3">
        <v>240080627</v>
      </c>
      <c r="C61" s="3" t="s">
        <v>42</v>
      </c>
      <c r="D61" s="3" t="s">
        <v>23</v>
      </c>
      <c r="E61" s="3">
        <v>1.93</v>
      </c>
      <c r="F61" s="3">
        <v>6954.4</v>
      </c>
      <c r="G61" s="3">
        <v>6954.4</v>
      </c>
      <c r="H61" s="3"/>
      <c r="I61" s="3" t="s">
        <v>104</v>
      </c>
      <c r="J61" s="3">
        <v>6955.46</v>
      </c>
      <c r="K61" s="3">
        <v>0</v>
      </c>
      <c r="L61" s="3">
        <v>0</v>
      </c>
      <c r="M61" s="10">
        <v>-14.82</v>
      </c>
      <c r="N61" s="10"/>
    </row>
    <row r="62" spans="1:14" ht="20" x14ac:dyDescent="0.35">
      <c r="A62" s="2" t="s">
        <v>105</v>
      </c>
      <c r="B62" s="2">
        <v>240596599</v>
      </c>
      <c r="C62" s="2" t="s">
        <v>42</v>
      </c>
      <c r="D62" s="2" t="s">
        <v>13</v>
      </c>
      <c r="E62" s="2">
        <v>2.2799999999999998</v>
      </c>
      <c r="F62" s="2">
        <v>6942.6</v>
      </c>
      <c r="G62" s="2">
        <v>6895.51</v>
      </c>
      <c r="H62" s="2"/>
      <c r="I62" s="2" t="s">
        <v>106</v>
      </c>
      <c r="J62" s="2">
        <v>6895.5</v>
      </c>
      <c r="K62" s="2">
        <v>0</v>
      </c>
      <c r="L62" s="2">
        <v>0</v>
      </c>
      <c r="M62" s="11">
        <v>-784.16</v>
      </c>
      <c r="N62" s="11"/>
    </row>
    <row r="63" spans="1:14" ht="20" x14ac:dyDescent="0.35">
      <c r="A63" s="3" t="s">
        <v>105</v>
      </c>
      <c r="B63" s="3">
        <v>240596679</v>
      </c>
      <c r="C63" s="3" t="s">
        <v>42</v>
      </c>
      <c r="D63" s="3" t="s">
        <v>13</v>
      </c>
      <c r="E63" s="3">
        <v>2.2799999999999998</v>
      </c>
      <c r="F63" s="3">
        <v>6942.76</v>
      </c>
      <c r="G63" s="3">
        <v>6895.51</v>
      </c>
      <c r="H63" s="3"/>
      <c r="I63" s="3" t="s">
        <v>107</v>
      </c>
      <c r="J63" s="3">
        <v>6895.49</v>
      </c>
      <c r="K63" s="3">
        <v>0</v>
      </c>
      <c r="L63" s="3">
        <v>0</v>
      </c>
      <c r="M63" s="10">
        <v>-787</v>
      </c>
      <c r="N63" s="10"/>
    </row>
    <row r="64" spans="1:14" ht="20" x14ac:dyDescent="0.35">
      <c r="A64" s="2" t="s">
        <v>108</v>
      </c>
      <c r="B64" s="2">
        <v>241748905</v>
      </c>
      <c r="C64" s="2" t="s">
        <v>42</v>
      </c>
      <c r="D64" s="2" t="s">
        <v>23</v>
      </c>
      <c r="E64" s="2">
        <v>0.99</v>
      </c>
      <c r="F64" s="2">
        <v>6858.13</v>
      </c>
      <c r="G64" s="2">
        <v>6858.13</v>
      </c>
      <c r="H64" s="2"/>
      <c r="I64" s="2" t="s">
        <v>109</v>
      </c>
      <c r="J64" s="2">
        <v>6858.95</v>
      </c>
      <c r="K64" s="2">
        <v>0</v>
      </c>
      <c r="L64" s="2">
        <v>0</v>
      </c>
      <c r="M64" s="11">
        <v>-5.97</v>
      </c>
      <c r="N64" s="11"/>
    </row>
    <row r="65" spans="1:14" ht="20" x14ac:dyDescent="0.35">
      <c r="A65" s="3" t="s">
        <v>108</v>
      </c>
      <c r="B65" s="3">
        <v>241748980</v>
      </c>
      <c r="C65" s="3" t="s">
        <v>42</v>
      </c>
      <c r="D65" s="3" t="s">
        <v>23</v>
      </c>
      <c r="E65" s="3">
        <v>0.99</v>
      </c>
      <c r="F65" s="3">
        <v>6858.11</v>
      </c>
      <c r="G65" s="3">
        <v>6858.11</v>
      </c>
      <c r="H65" s="3"/>
      <c r="I65" s="3" t="s">
        <v>109</v>
      </c>
      <c r="J65" s="3">
        <v>6858.97</v>
      </c>
      <c r="K65" s="3">
        <v>0</v>
      </c>
      <c r="L65" s="3">
        <v>0</v>
      </c>
      <c r="M65" s="10">
        <v>-6.26</v>
      </c>
      <c r="N65" s="10"/>
    </row>
    <row r="66" spans="1:14" ht="20" x14ac:dyDescent="0.35">
      <c r="A66" s="2" t="s">
        <v>110</v>
      </c>
      <c r="B66" s="2">
        <v>242682847</v>
      </c>
      <c r="C66" s="2" t="s">
        <v>46</v>
      </c>
      <c r="D66" s="2" t="s">
        <v>13</v>
      </c>
      <c r="E66" s="2">
        <v>1.41</v>
      </c>
      <c r="F66" s="2">
        <v>1.1837500000000001</v>
      </c>
      <c r="G66" s="2">
        <v>1.18859</v>
      </c>
      <c r="H66" s="2"/>
      <c r="I66" s="2" t="s">
        <v>111</v>
      </c>
      <c r="J66" s="2">
        <v>1.18652</v>
      </c>
      <c r="K66" s="2">
        <v>0</v>
      </c>
      <c r="L66" s="2">
        <v>0</v>
      </c>
      <c r="M66" s="11">
        <v>280.58</v>
      </c>
      <c r="N66" s="11"/>
    </row>
    <row r="67" spans="1:14" ht="20" x14ac:dyDescent="0.35">
      <c r="A67" s="3" t="s">
        <v>110</v>
      </c>
      <c r="B67" s="3">
        <v>242682954</v>
      </c>
      <c r="C67" s="3" t="s">
        <v>46</v>
      </c>
      <c r="D67" s="3" t="s">
        <v>13</v>
      </c>
      <c r="E67" s="3">
        <v>1.41</v>
      </c>
      <c r="F67" s="3">
        <v>1.1837500000000001</v>
      </c>
      <c r="G67" s="3">
        <v>1.1837500000000001</v>
      </c>
      <c r="H67" s="3"/>
      <c r="I67" s="3" t="s">
        <v>112</v>
      </c>
      <c r="J67" s="3">
        <v>1.1837500000000001</v>
      </c>
      <c r="K67" s="3">
        <v>0</v>
      </c>
      <c r="L67" s="3">
        <v>0</v>
      </c>
      <c r="M67" s="10">
        <v>0</v>
      </c>
      <c r="N67" s="10"/>
    </row>
    <row r="68" spans="1:14" ht="20" x14ac:dyDescent="0.35">
      <c r="A68" s="2" t="s">
        <v>113</v>
      </c>
      <c r="B68" s="2">
        <v>243536424</v>
      </c>
      <c r="C68" s="2" t="s">
        <v>12</v>
      </c>
      <c r="D68" s="2" t="s">
        <v>13</v>
      </c>
      <c r="E68" s="2">
        <v>0.91</v>
      </c>
      <c r="F68" s="2">
        <v>64.707999999999998</v>
      </c>
      <c r="G68" s="2">
        <v>64.623000000000005</v>
      </c>
      <c r="H68" s="2"/>
      <c r="I68" s="2" t="s">
        <v>114</v>
      </c>
      <c r="J68" s="2">
        <v>64.683000000000007</v>
      </c>
      <c r="K68" s="2">
        <v>0</v>
      </c>
      <c r="L68" s="2">
        <v>0</v>
      </c>
      <c r="M68" s="11">
        <v>-17.010000000000002</v>
      </c>
      <c r="N68" s="11"/>
    </row>
    <row r="69" spans="1:14" ht="20" x14ac:dyDescent="0.35">
      <c r="A69" s="3" t="s">
        <v>113</v>
      </c>
      <c r="B69" s="3">
        <v>243536341</v>
      </c>
      <c r="C69" s="3" t="s">
        <v>12</v>
      </c>
      <c r="D69" s="3" t="s">
        <v>13</v>
      </c>
      <c r="E69" s="3">
        <v>0.91</v>
      </c>
      <c r="F69" s="3">
        <v>64.707999999999998</v>
      </c>
      <c r="G69" s="3">
        <v>64.620999999999995</v>
      </c>
      <c r="H69" s="3"/>
      <c r="I69" s="3" t="s">
        <v>115</v>
      </c>
      <c r="J69" s="3">
        <v>64.683000000000007</v>
      </c>
      <c r="K69" s="3">
        <v>0</v>
      </c>
      <c r="L69" s="3">
        <v>0</v>
      </c>
      <c r="M69" s="10">
        <v>-17.010000000000002</v>
      </c>
      <c r="N69" s="10"/>
    </row>
    <row r="70" spans="1:14" ht="20" x14ac:dyDescent="0.35">
      <c r="A70" s="2" t="s">
        <v>116</v>
      </c>
      <c r="B70" s="2">
        <v>244926824</v>
      </c>
      <c r="C70" s="2" t="s">
        <v>76</v>
      </c>
      <c r="D70" s="2" t="s">
        <v>23</v>
      </c>
      <c r="E70" s="2">
        <v>7.0000000000000007E-2</v>
      </c>
      <c r="F70" s="2">
        <v>4934.0600000000004</v>
      </c>
      <c r="G70" s="2">
        <v>4944.82</v>
      </c>
      <c r="H70" s="2"/>
      <c r="I70" s="2" t="s">
        <v>117</v>
      </c>
      <c r="J70" s="2">
        <v>4945.1400000000003</v>
      </c>
      <c r="K70" s="2">
        <v>0</v>
      </c>
      <c r="L70" s="2">
        <v>0</v>
      </c>
      <c r="M70" s="11">
        <v>-57.14</v>
      </c>
      <c r="N70" s="11"/>
    </row>
    <row r="71" spans="1:14" ht="20" x14ac:dyDescent="0.35">
      <c r="A71" s="3" t="s">
        <v>116</v>
      </c>
      <c r="B71" s="3">
        <v>244926754</v>
      </c>
      <c r="C71" s="3" t="s">
        <v>76</v>
      </c>
      <c r="D71" s="3" t="s">
        <v>23</v>
      </c>
      <c r="E71" s="3">
        <v>7.0000000000000007E-2</v>
      </c>
      <c r="F71" s="3">
        <v>4934.0600000000004</v>
      </c>
      <c r="G71" s="3">
        <v>4944.82</v>
      </c>
      <c r="H71" s="3"/>
      <c r="I71" s="3" t="s">
        <v>117</v>
      </c>
      <c r="J71" s="3">
        <v>4945.1400000000003</v>
      </c>
      <c r="K71" s="3">
        <v>0</v>
      </c>
      <c r="L71" s="3">
        <v>0</v>
      </c>
      <c r="M71" s="10">
        <v>-57.14</v>
      </c>
      <c r="N71" s="10"/>
    </row>
    <row r="72" spans="1:14" ht="20" x14ac:dyDescent="0.35">
      <c r="A72" s="2" t="s">
        <v>118</v>
      </c>
      <c r="B72" s="2">
        <v>245351402</v>
      </c>
      <c r="C72" s="2" t="s">
        <v>46</v>
      </c>
      <c r="D72" s="2" t="s">
        <v>13</v>
      </c>
      <c r="E72" s="2">
        <v>3.58</v>
      </c>
      <c r="F72" s="2">
        <v>1.1846000000000001</v>
      </c>
      <c r="G72" s="2">
        <v>1.1823600000000001</v>
      </c>
      <c r="H72" s="2"/>
      <c r="I72" s="2" t="s">
        <v>119</v>
      </c>
      <c r="J72" s="2">
        <v>1.1823399999999999</v>
      </c>
      <c r="K72" s="2">
        <v>0</v>
      </c>
      <c r="L72" s="2">
        <v>0</v>
      </c>
      <c r="M72" s="11">
        <v>-608.87</v>
      </c>
      <c r="N72" s="11"/>
    </row>
    <row r="73" spans="1:14" ht="20" x14ac:dyDescent="0.35">
      <c r="A73" s="3" t="s">
        <v>118</v>
      </c>
      <c r="B73" s="3">
        <v>245351472</v>
      </c>
      <c r="C73" s="3" t="s">
        <v>46</v>
      </c>
      <c r="D73" s="3" t="s">
        <v>13</v>
      </c>
      <c r="E73" s="3">
        <v>3.58</v>
      </c>
      <c r="F73" s="3">
        <v>1.1846000000000001</v>
      </c>
      <c r="G73" s="3">
        <v>1.1823600000000001</v>
      </c>
      <c r="H73" s="3"/>
      <c r="I73" s="3" t="s">
        <v>119</v>
      </c>
      <c r="J73" s="3">
        <v>1.1823399999999999</v>
      </c>
      <c r="K73" s="3">
        <v>0</v>
      </c>
      <c r="L73" s="3">
        <v>0</v>
      </c>
      <c r="M73" s="10">
        <v>-608.87</v>
      </c>
      <c r="N73" s="10"/>
    </row>
    <row r="74" spans="1:14" ht="20" x14ac:dyDescent="0.35">
      <c r="A74" s="2" t="s">
        <v>120</v>
      </c>
      <c r="B74" s="2">
        <v>245592897</v>
      </c>
      <c r="C74" s="2" t="s">
        <v>42</v>
      </c>
      <c r="D74" s="2" t="s">
        <v>23</v>
      </c>
      <c r="E74" s="2">
        <v>1.33</v>
      </c>
      <c r="F74" s="2">
        <v>6855.12</v>
      </c>
      <c r="G74" s="2">
        <v>6868.88</v>
      </c>
      <c r="H74" s="2"/>
      <c r="I74" s="2" t="s">
        <v>121</v>
      </c>
      <c r="J74" s="2">
        <v>6869.1</v>
      </c>
      <c r="K74" s="2">
        <v>0</v>
      </c>
      <c r="L74" s="2">
        <v>0</v>
      </c>
      <c r="M74" s="11">
        <v>-138.30000000000001</v>
      </c>
      <c r="N74" s="11"/>
    </row>
    <row r="75" spans="1:14" ht="20" x14ac:dyDescent="0.35">
      <c r="A75" s="3" t="s">
        <v>120</v>
      </c>
      <c r="B75" s="3">
        <v>245593099</v>
      </c>
      <c r="C75" s="3" t="s">
        <v>42</v>
      </c>
      <c r="D75" s="3" t="s">
        <v>23</v>
      </c>
      <c r="E75" s="3">
        <v>1.33</v>
      </c>
      <c r="F75" s="3">
        <v>6855.1</v>
      </c>
      <c r="G75" s="3">
        <v>6868.8</v>
      </c>
      <c r="H75" s="3"/>
      <c r="I75" s="3" t="s">
        <v>121</v>
      </c>
      <c r="J75" s="3">
        <v>6869.1</v>
      </c>
      <c r="K75" s="3">
        <v>0</v>
      </c>
      <c r="L75" s="3">
        <v>0</v>
      </c>
      <c r="M75" s="10">
        <v>-138.5</v>
      </c>
      <c r="N75" s="10"/>
    </row>
    <row r="76" spans="1:14" ht="20" x14ac:dyDescent="0.35">
      <c r="A76" s="2" t="s">
        <v>122</v>
      </c>
      <c r="B76" s="2">
        <v>245795508</v>
      </c>
      <c r="C76" s="2" t="s">
        <v>46</v>
      </c>
      <c r="D76" s="2" t="s">
        <v>13</v>
      </c>
      <c r="E76" s="2">
        <v>1.89</v>
      </c>
      <c r="F76" s="2">
        <v>1.1777599999999999</v>
      </c>
      <c r="G76" s="2">
        <v>1.1777599999999999</v>
      </c>
      <c r="H76" s="2"/>
      <c r="I76" s="2" t="s">
        <v>123</v>
      </c>
      <c r="J76" s="2">
        <v>1.1777599999999999</v>
      </c>
      <c r="K76" s="2">
        <v>0</v>
      </c>
      <c r="L76" s="2">
        <v>0</v>
      </c>
      <c r="M76" s="11">
        <v>0</v>
      </c>
      <c r="N76" s="11"/>
    </row>
    <row r="77" spans="1:14" ht="20" x14ac:dyDescent="0.35">
      <c r="A77" s="3" t="s">
        <v>122</v>
      </c>
      <c r="B77" s="3">
        <v>245795583</v>
      </c>
      <c r="C77" s="3" t="s">
        <v>46</v>
      </c>
      <c r="D77" s="3" t="s">
        <v>13</v>
      </c>
      <c r="E77" s="3">
        <v>1.89</v>
      </c>
      <c r="F77" s="3">
        <v>1.1777599999999999</v>
      </c>
      <c r="G77" s="3">
        <v>1.1777599999999999</v>
      </c>
      <c r="H77" s="3"/>
      <c r="I77" s="3" t="s">
        <v>123</v>
      </c>
      <c r="J77" s="3">
        <v>1.1777599999999999</v>
      </c>
      <c r="K77" s="3">
        <v>0</v>
      </c>
      <c r="L77" s="3">
        <v>0</v>
      </c>
      <c r="M77" s="10">
        <v>0</v>
      </c>
      <c r="N77" s="10"/>
    </row>
    <row r="78" spans="1:14" ht="20" x14ac:dyDescent="0.35">
      <c r="A78" s="2" t="s">
        <v>124</v>
      </c>
      <c r="B78" s="2">
        <v>246408086</v>
      </c>
      <c r="C78" s="2" t="s">
        <v>46</v>
      </c>
      <c r="D78" s="2" t="s">
        <v>13</v>
      </c>
      <c r="E78" s="2">
        <v>2.29</v>
      </c>
      <c r="F78" s="2">
        <v>1.1785000000000001</v>
      </c>
      <c r="G78" s="2">
        <v>1.1767399999999999</v>
      </c>
      <c r="H78" s="2"/>
      <c r="I78" s="2" t="s">
        <v>125</v>
      </c>
      <c r="J78" s="2">
        <v>1.1767399999999999</v>
      </c>
      <c r="K78" s="2">
        <v>0</v>
      </c>
      <c r="L78" s="2">
        <v>0</v>
      </c>
      <c r="M78" s="11">
        <v>-305.02</v>
      </c>
      <c r="N78" s="11"/>
    </row>
    <row r="79" spans="1:14" ht="20" x14ac:dyDescent="0.35">
      <c r="A79" s="3" t="s">
        <v>124</v>
      </c>
      <c r="B79" s="3">
        <v>246408155</v>
      </c>
      <c r="C79" s="3" t="s">
        <v>46</v>
      </c>
      <c r="D79" s="3" t="s">
        <v>13</v>
      </c>
      <c r="E79" s="3">
        <v>2.29</v>
      </c>
      <c r="F79" s="3">
        <v>1.1785000000000001</v>
      </c>
      <c r="G79" s="3">
        <v>1.1767399999999999</v>
      </c>
      <c r="H79" s="3"/>
      <c r="I79" s="3" t="s">
        <v>125</v>
      </c>
      <c r="J79" s="3">
        <v>1.1767399999999999</v>
      </c>
      <c r="K79" s="3">
        <v>0</v>
      </c>
      <c r="L79" s="3">
        <v>0</v>
      </c>
      <c r="M79" s="10">
        <v>-305.02</v>
      </c>
      <c r="N79" s="10"/>
    </row>
    <row r="80" spans="1:14" ht="20" x14ac:dyDescent="0.35">
      <c r="A80" s="2" t="s">
        <v>126</v>
      </c>
      <c r="B80" s="2">
        <v>246409627</v>
      </c>
      <c r="C80" s="2" t="s">
        <v>42</v>
      </c>
      <c r="D80" s="2" t="s">
        <v>23</v>
      </c>
      <c r="E80" s="2">
        <v>1.52</v>
      </c>
      <c r="F80" s="2">
        <v>6817.45</v>
      </c>
      <c r="G80" s="2">
        <v>6863.3</v>
      </c>
      <c r="H80" s="2"/>
      <c r="I80" s="2" t="s">
        <v>127</v>
      </c>
      <c r="J80" s="2">
        <v>6863.87</v>
      </c>
      <c r="K80" s="2">
        <v>0</v>
      </c>
      <c r="L80" s="2">
        <v>0</v>
      </c>
      <c r="M80" s="11">
        <v>-523.16</v>
      </c>
      <c r="N80" s="11"/>
    </row>
    <row r="81" spans="1:14" ht="20" x14ac:dyDescent="0.35">
      <c r="A81" s="3" t="s">
        <v>128</v>
      </c>
      <c r="B81" s="3">
        <v>246409720</v>
      </c>
      <c r="C81" s="3" t="s">
        <v>42</v>
      </c>
      <c r="D81" s="3" t="s">
        <v>23</v>
      </c>
      <c r="E81" s="3">
        <v>1.52</v>
      </c>
      <c r="F81" s="3">
        <v>6817.67</v>
      </c>
      <c r="G81" s="3">
        <v>6863.3</v>
      </c>
      <c r="H81" s="3"/>
      <c r="I81" s="3" t="s">
        <v>127</v>
      </c>
      <c r="J81" s="3">
        <v>6863.75</v>
      </c>
      <c r="K81" s="3">
        <v>0</v>
      </c>
      <c r="L81" s="3">
        <v>0</v>
      </c>
      <c r="M81" s="10">
        <v>-519.34</v>
      </c>
      <c r="N81" s="10"/>
    </row>
    <row r="82" spans="1:14" ht="20" x14ac:dyDescent="0.35">
      <c r="A82" s="2" t="s">
        <v>129</v>
      </c>
      <c r="B82" s="2">
        <v>247012555</v>
      </c>
      <c r="C82" s="2" t="s">
        <v>76</v>
      </c>
      <c r="D82" s="2" t="s">
        <v>23</v>
      </c>
      <c r="E82" s="2">
        <v>0.08</v>
      </c>
      <c r="F82" s="2">
        <v>5143.24</v>
      </c>
      <c r="G82" s="2">
        <v>5217.6899999999996</v>
      </c>
      <c r="H82" s="2"/>
      <c r="I82" s="2" t="s">
        <v>130</v>
      </c>
      <c r="J82" s="2">
        <v>5217.08</v>
      </c>
      <c r="K82" s="2">
        <v>0</v>
      </c>
      <c r="L82" s="2">
        <v>0</v>
      </c>
      <c r="M82" s="11">
        <v>-438.57</v>
      </c>
      <c r="N82" s="11"/>
    </row>
    <row r="83" spans="1:14" ht="20" x14ac:dyDescent="0.35">
      <c r="A83" s="3" t="s">
        <v>129</v>
      </c>
      <c r="B83" s="3">
        <v>247012664</v>
      </c>
      <c r="C83" s="3" t="s">
        <v>76</v>
      </c>
      <c r="D83" s="3" t="s">
        <v>23</v>
      </c>
      <c r="E83" s="3">
        <v>0.08</v>
      </c>
      <c r="F83" s="3">
        <v>5143.24</v>
      </c>
      <c r="G83" s="3">
        <v>5217.6899999999996</v>
      </c>
      <c r="H83" s="3"/>
      <c r="I83" s="3" t="s">
        <v>130</v>
      </c>
      <c r="J83" s="3">
        <v>5217.08</v>
      </c>
      <c r="K83" s="3">
        <v>0</v>
      </c>
      <c r="L83" s="3">
        <v>0</v>
      </c>
      <c r="M83" s="10">
        <v>-438.57</v>
      </c>
      <c r="N83" s="10"/>
    </row>
    <row r="84" spans="1:14" ht="20" x14ac:dyDescent="0.35">
      <c r="A84" s="2" t="s">
        <v>131</v>
      </c>
      <c r="B84" s="2">
        <v>247295267</v>
      </c>
      <c r="C84" s="2" t="s">
        <v>42</v>
      </c>
      <c r="D84" s="2" t="s">
        <v>23</v>
      </c>
      <c r="E84" s="2">
        <v>1.49</v>
      </c>
      <c r="F84" s="2">
        <v>6857.85</v>
      </c>
      <c r="G84" s="2">
        <v>6857.85</v>
      </c>
      <c r="H84" s="2"/>
      <c r="I84" s="2" t="s">
        <v>132</v>
      </c>
      <c r="J84" s="2">
        <v>6857.92</v>
      </c>
      <c r="K84" s="2">
        <v>0</v>
      </c>
      <c r="L84" s="2">
        <v>0</v>
      </c>
      <c r="M84" s="11">
        <v>-0.77</v>
      </c>
      <c r="N84" s="11"/>
    </row>
    <row r="85" spans="1:14" ht="20" x14ac:dyDescent="0.35">
      <c r="A85" s="3" t="s">
        <v>131</v>
      </c>
      <c r="B85" s="3">
        <v>247295335</v>
      </c>
      <c r="C85" s="3" t="s">
        <v>42</v>
      </c>
      <c r="D85" s="3" t="s">
        <v>23</v>
      </c>
      <c r="E85" s="3">
        <v>1.49</v>
      </c>
      <c r="F85" s="3">
        <v>6857.85</v>
      </c>
      <c r="G85" s="3">
        <v>6857.85</v>
      </c>
      <c r="H85" s="3"/>
      <c r="I85" s="3" t="s">
        <v>133</v>
      </c>
      <c r="J85" s="3">
        <v>6858</v>
      </c>
      <c r="K85" s="3">
        <v>0</v>
      </c>
      <c r="L85" s="3">
        <v>0</v>
      </c>
      <c r="M85" s="10">
        <v>-1.67</v>
      </c>
      <c r="N85" s="10"/>
    </row>
    <row r="86" spans="1:14" ht="20" x14ac:dyDescent="0.35">
      <c r="A86" s="2" t="s">
        <v>134</v>
      </c>
      <c r="B86" s="2">
        <v>248912911</v>
      </c>
      <c r="C86" s="2" t="s">
        <v>12</v>
      </c>
      <c r="D86" s="2" t="s">
        <v>23</v>
      </c>
      <c r="E86" s="2">
        <v>0.19</v>
      </c>
      <c r="F86" s="2">
        <v>74.433000000000007</v>
      </c>
      <c r="G86" s="2">
        <v>77.236999999999995</v>
      </c>
      <c r="H86" s="2"/>
      <c r="I86" s="2" t="s">
        <v>135</v>
      </c>
      <c r="J86" s="2">
        <v>77.25</v>
      </c>
      <c r="K86" s="2">
        <v>0</v>
      </c>
      <c r="L86" s="2">
        <v>0</v>
      </c>
      <c r="M86" s="11">
        <v>-409.82</v>
      </c>
      <c r="N86" s="11"/>
    </row>
    <row r="87" spans="1:14" ht="20" x14ac:dyDescent="0.35">
      <c r="A87" s="3" t="s">
        <v>134</v>
      </c>
      <c r="B87" s="3">
        <v>248912968</v>
      </c>
      <c r="C87" s="3" t="s">
        <v>12</v>
      </c>
      <c r="D87" s="3" t="s">
        <v>23</v>
      </c>
      <c r="E87" s="3">
        <v>0.19</v>
      </c>
      <c r="F87" s="3">
        <v>74.433000000000007</v>
      </c>
      <c r="G87" s="3">
        <v>77.236999999999995</v>
      </c>
      <c r="H87" s="3"/>
      <c r="I87" s="3" t="s">
        <v>135</v>
      </c>
      <c r="J87" s="3">
        <v>77.25</v>
      </c>
      <c r="K87" s="3">
        <v>0</v>
      </c>
      <c r="L87" s="3">
        <v>0</v>
      </c>
      <c r="M87" s="10">
        <v>-409.82</v>
      </c>
      <c r="N87" s="10"/>
    </row>
  </sheetData>
  <mergeCells count="87">
    <mergeCell ref="M6:N6"/>
    <mergeCell ref="M1:N1"/>
    <mergeCell ref="M2:N2"/>
    <mergeCell ref="M3:N3"/>
    <mergeCell ref="M4:N4"/>
    <mergeCell ref="M5:N5"/>
    <mergeCell ref="M18:N18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30:N30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42:N42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54:N54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66:N66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78:N78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85:N85"/>
    <mergeCell ref="M86:N86"/>
    <mergeCell ref="M87:N87"/>
    <mergeCell ref="M79:N79"/>
    <mergeCell ref="M80:N80"/>
    <mergeCell ref="M81:N81"/>
    <mergeCell ref="M82:N82"/>
    <mergeCell ref="M83:N83"/>
    <mergeCell ref="M84:N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EE55-A177-47FC-AFD4-410064B5CC62}">
  <dimension ref="A1:N126"/>
  <sheetViews>
    <sheetView tabSelected="1" topLeftCell="A114" workbookViewId="0">
      <selection sqref="A1:N12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5</v>
      </c>
      <c r="K1" s="1" t="s">
        <v>8</v>
      </c>
      <c r="L1" s="1" t="s">
        <v>9</v>
      </c>
      <c r="M1" s="12" t="s">
        <v>10</v>
      </c>
      <c r="N1" s="12"/>
    </row>
    <row r="2" spans="1:14" ht="20" x14ac:dyDescent="0.35">
      <c r="A2" s="2" t="s">
        <v>136</v>
      </c>
      <c r="B2" s="2">
        <v>227526468</v>
      </c>
      <c r="C2" s="2" t="s">
        <v>12</v>
      </c>
      <c r="D2" s="2" t="s">
        <v>13</v>
      </c>
      <c r="E2" s="2">
        <v>0.83</v>
      </c>
      <c r="F2" s="2">
        <v>60.472999999999999</v>
      </c>
      <c r="G2" s="2">
        <v>60.25</v>
      </c>
      <c r="H2" s="8"/>
      <c r="I2" s="2" t="s">
        <v>137</v>
      </c>
      <c r="J2" s="2">
        <v>60.243000000000002</v>
      </c>
      <c r="K2" s="2">
        <v>0</v>
      </c>
      <c r="L2" s="2">
        <v>0</v>
      </c>
      <c r="M2" s="11">
        <v>-148.37</v>
      </c>
      <c r="N2" s="11"/>
    </row>
    <row r="3" spans="1:14" ht="20" x14ac:dyDescent="0.35">
      <c r="A3" s="3" t="s">
        <v>136</v>
      </c>
      <c r="B3" s="3">
        <v>227526474</v>
      </c>
      <c r="C3" s="3" t="s">
        <v>12</v>
      </c>
      <c r="D3" s="3" t="s">
        <v>13</v>
      </c>
      <c r="E3" s="3">
        <v>0.83</v>
      </c>
      <c r="F3" s="3">
        <v>60.472999999999999</v>
      </c>
      <c r="G3" s="3">
        <v>60.25</v>
      </c>
      <c r="H3" s="9"/>
      <c r="I3" s="3" t="s">
        <v>137</v>
      </c>
      <c r="J3" s="3">
        <v>60.243000000000002</v>
      </c>
      <c r="K3" s="3">
        <v>0</v>
      </c>
      <c r="L3" s="3">
        <v>0</v>
      </c>
      <c r="M3" s="10">
        <v>-148.37</v>
      </c>
      <c r="N3" s="10"/>
    </row>
    <row r="4" spans="1:14" ht="20" x14ac:dyDescent="0.35">
      <c r="A4" s="2" t="s">
        <v>138</v>
      </c>
      <c r="B4" s="2">
        <v>227740887</v>
      </c>
      <c r="C4" s="2" t="s">
        <v>46</v>
      </c>
      <c r="D4" s="2" t="s">
        <v>13</v>
      </c>
      <c r="E4" s="2">
        <v>1.1399999999999999</v>
      </c>
      <c r="F4" s="2">
        <v>1.15255</v>
      </c>
      <c r="G4" s="2">
        <v>1.1511800000000001</v>
      </c>
      <c r="H4" s="8"/>
      <c r="I4" s="2" t="s">
        <v>139</v>
      </c>
      <c r="J4" s="2">
        <v>1.1511800000000001</v>
      </c>
      <c r="K4" s="2">
        <v>0</v>
      </c>
      <c r="L4" s="2">
        <v>0</v>
      </c>
      <c r="M4" s="11">
        <v>-121.97</v>
      </c>
      <c r="N4" s="11"/>
    </row>
    <row r="5" spans="1:14" ht="20" x14ac:dyDescent="0.35">
      <c r="A5" s="3" t="s">
        <v>138</v>
      </c>
      <c r="B5" s="3">
        <v>227740882</v>
      </c>
      <c r="C5" s="3" t="s">
        <v>46</v>
      </c>
      <c r="D5" s="3" t="s">
        <v>13</v>
      </c>
      <c r="E5" s="3">
        <v>1.1399999999999999</v>
      </c>
      <c r="F5" s="3">
        <v>1.15255</v>
      </c>
      <c r="G5" s="3">
        <v>1.1511800000000001</v>
      </c>
      <c r="H5" s="9"/>
      <c r="I5" s="3" t="s">
        <v>139</v>
      </c>
      <c r="J5" s="3">
        <v>1.1511800000000001</v>
      </c>
      <c r="K5" s="3">
        <v>0</v>
      </c>
      <c r="L5" s="3">
        <v>0</v>
      </c>
      <c r="M5" s="10">
        <v>-121.97</v>
      </c>
      <c r="N5" s="10"/>
    </row>
    <row r="6" spans="1:14" ht="20" x14ac:dyDescent="0.35">
      <c r="A6" s="2" t="s">
        <v>140</v>
      </c>
      <c r="B6" s="2">
        <v>227814668</v>
      </c>
      <c r="C6" s="2" t="s">
        <v>46</v>
      </c>
      <c r="D6" s="2" t="s">
        <v>13</v>
      </c>
      <c r="E6" s="2">
        <v>0.93</v>
      </c>
      <c r="F6" s="2">
        <v>1.1530100000000001</v>
      </c>
      <c r="G6" s="2">
        <v>1.15229</v>
      </c>
      <c r="H6" s="8"/>
      <c r="I6" s="2" t="s">
        <v>141</v>
      </c>
      <c r="J6" s="2">
        <v>1.15229</v>
      </c>
      <c r="K6" s="2">
        <v>0</v>
      </c>
      <c r="L6" s="2">
        <v>0</v>
      </c>
      <c r="M6" s="11">
        <v>-52.31</v>
      </c>
      <c r="N6" s="11"/>
    </row>
    <row r="7" spans="1:14" ht="20" x14ac:dyDescent="0.35">
      <c r="A7" s="3" t="s">
        <v>140</v>
      </c>
      <c r="B7" s="3">
        <v>227814753</v>
      </c>
      <c r="C7" s="3" t="s">
        <v>46</v>
      </c>
      <c r="D7" s="3" t="s">
        <v>13</v>
      </c>
      <c r="E7" s="3">
        <v>0.93</v>
      </c>
      <c r="F7" s="3">
        <v>1.1530100000000001</v>
      </c>
      <c r="G7" s="3">
        <v>1.15229</v>
      </c>
      <c r="H7" s="9"/>
      <c r="I7" s="3" t="s">
        <v>141</v>
      </c>
      <c r="J7" s="3">
        <v>1.15229</v>
      </c>
      <c r="K7" s="3">
        <v>0</v>
      </c>
      <c r="L7" s="3">
        <v>0</v>
      </c>
      <c r="M7" s="10">
        <v>-52.31</v>
      </c>
      <c r="N7" s="10"/>
    </row>
    <row r="8" spans="1:14" ht="20" x14ac:dyDescent="0.35">
      <c r="A8" s="2" t="s">
        <v>142</v>
      </c>
      <c r="B8" s="2">
        <v>228035755</v>
      </c>
      <c r="C8" s="2" t="s">
        <v>46</v>
      </c>
      <c r="D8" s="2" t="s">
        <v>13</v>
      </c>
      <c r="E8" s="2">
        <v>0.48</v>
      </c>
      <c r="F8" s="2">
        <v>1.1523399999999999</v>
      </c>
      <c r="G8" s="2">
        <v>1.1495899999999999</v>
      </c>
      <c r="H8" s="8"/>
      <c r="I8" s="2" t="s">
        <v>143</v>
      </c>
      <c r="J8" s="2">
        <v>1.1495899999999999</v>
      </c>
      <c r="K8" s="2">
        <v>0</v>
      </c>
      <c r="L8" s="2">
        <v>0</v>
      </c>
      <c r="M8" s="11">
        <v>-102.96</v>
      </c>
      <c r="N8" s="11"/>
    </row>
    <row r="9" spans="1:14" ht="20" x14ac:dyDescent="0.35">
      <c r="A9" s="3" t="s">
        <v>142</v>
      </c>
      <c r="B9" s="3">
        <v>228035752</v>
      </c>
      <c r="C9" s="3" t="s">
        <v>46</v>
      </c>
      <c r="D9" s="3" t="s">
        <v>13</v>
      </c>
      <c r="E9" s="3">
        <v>0.48</v>
      </c>
      <c r="F9" s="3">
        <v>1.1523399999999999</v>
      </c>
      <c r="G9" s="3">
        <v>1.1495899999999999</v>
      </c>
      <c r="H9" s="9"/>
      <c r="I9" s="3" t="s">
        <v>143</v>
      </c>
      <c r="J9" s="3">
        <v>1.1495899999999999</v>
      </c>
      <c r="K9" s="3">
        <v>0</v>
      </c>
      <c r="L9" s="3">
        <v>0</v>
      </c>
      <c r="M9" s="10">
        <v>-102.96</v>
      </c>
      <c r="N9" s="10"/>
    </row>
    <row r="10" spans="1:14" ht="20" x14ac:dyDescent="0.35">
      <c r="A10" s="2" t="s">
        <v>144</v>
      </c>
      <c r="B10" s="2">
        <v>228152408</v>
      </c>
      <c r="C10" s="2" t="s">
        <v>12</v>
      </c>
      <c r="D10" s="2" t="s">
        <v>23</v>
      </c>
      <c r="E10" s="2">
        <v>0.49</v>
      </c>
      <c r="F10" s="2">
        <v>57.938000000000002</v>
      </c>
      <c r="G10" s="2">
        <v>57.938000000000002</v>
      </c>
      <c r="H10" s="8"/>
      <c r="I10" s="2" t="s">
        <v>145</v>
      </c>
      <c r="J10" s="2">
        <v>57.938000000000002</v>
      </c>
      <c r="K10" s="2">
        <v>0</v>
      </c>
      <c r="L10" s="2">
        <v>0</v>
      </c>
      <c r="M10" s="11">
        <v>0</v>
      </c>
      <c r="N10" s="11"/>
    </row>
    <row r="11" spans="1:14" ht="20" x14ac:dyDescent="0.35">
      <c r="A11" s="3" t="s">
        <v>144</v>
      </c>
      <c r="B11" s="3">
        <v>228152411</v>
      </c>
      <c r="C11" s="3" t="s">
        <v>12</v>
      </c>
      <c r="D11" s="3" t="s">
        <v>23</v>
      </c>
      <c r="E11" s="3">
        <v>0.49</v>
      </c>
      <c r="F11" s="3">
        <v>57.942999999999998</v>
      </c>
      <c r="G11" s="3">
        <v>57.942999999999998</v>
      </c>
      <c r="H11" s="9"/>
      <c r="I11" s="3" t="s">
        <v>146</v>
      </c>
      <c r="J11" s="3">
        <v>57.456000000000003</v>
      </c>
      <c r="K11" s="3">
        <v>0</v>
      </c>
      <c r="L11" s="3">
        <v>0</v>
      </c>
      <c r="M11" s="10">
        <v>178.59</v>
      </c>
      <c r="N11" s="10"/>
    </row>
    <row r="12" spans="1:14" ht="20" x14ac:dyDescent="0.35">
      <c r="A12" s="2" t="s">
        <v>147</v>
      </c>
      <c r="B12" s="2">
        <v>228312168</v>
      </c>
      <c r="C12" s="2" t="s">
        <v>46</v>
      </c>
      <c r="D12" s="2" t="s">
        <v>13</v>
      </c>
      <c r="E12" s="2">
        <v>0.65</v>
      </c>
      <c r="F12" s="2">
        <v>1.1530800000000001</v>
      </c>
      <c r="G12" s="2">
        <v>1.15761</v>
      </c>
      <c r="H12" s="8"/>
      <c r="I12" s="2" t="s">
        <v>148</v>
      </c>
      <c r="J12" s="2">
        <v>1.15761</v>
      </c>
      <c r="K12" s="2">
        <v>0</v>
      </c>
      <c r="L12" s="2">
        <v>0</v>
      </c>
      <c r="M12" s="11">
        <v>218.53</v>
      </c>
      <c r="N12" s="11"/>
    </row>
    <row r="13" spans="1:14" ht="20" x14ac:dyDescent="0.35">
      <c r="A13" s="3" t="s">
        <v>147</v>
      </c>
      <c r="B13" s="3">
        <v>228312170</v>
      </c>
      <c r="C13" s="3" t="s">
        <v>46</v>
      </c>
      <c r="D13" s="3" t="s">
        <v>13</v>
      </c>
      <c r="E13" s="3">
        <v>0.65</v>
      </c>
      <c r="F13" s="3">
        <v>1.1530800000000001</v>
      </c>
      <c r="G13" s="3">
        <v>1.1652199999999999</v>
      </c>
      <c r="H13" s="9"/>
      <c r="I13" s="3" t="s">
        <v>49</v>
      </c>
      <c r="J13" s="3">
        <v>1.1652199999999999</v>
      </c>
      <c r="K13" s="3">
        <v>0</v>
      </c>
      <c r="L13" s="3">
        <v>0</v>
      </c>
      <c r="M13" s="10">
        <v>580.46</v>
      </c>
      <c r="N13" s="10"/>
    </row>
    <row r="14" spans="1:14" ht="20" x14ac:dyDescent="0.35">
      <c r="A14" s="2" t="s">
        <v>149</v>
      </c>
      <c r="B14" s="2">
        <v>228312188</v>
      </c>
      <c r="C14" s="2" t="s">
        <v>16</v>
      </c>
      <c r="D14" s="2" t="s">
        <v>23</v>
      </c>
      <c r="E14" s="2">
        <v>0.69</v>
      </c>
      <c r="F14" s="2">
        <v>1.4102699999999999</v>
      </c>
      <c r="G14" s="2">
        <v>1.40503</v>
      </c>
      <c r="H14" s="8"/>
      <c r="I14" s="2" t="s">
        <v>150</v>
      </c>
      <c r="J14" s="2">
        <v>1.40503</v>
      </c>
      <c r="K14" s="2">
        <v>0</v>
      </c>
      <c r="L14" s="2">
        <v>0</v>
      </c>
      <c r="M14" s="11">
        <v>190.94</v>
      </c>
      <c r="N14" s="11"/>
    </row>
    <row r="15" spans="1:14" ht="20" x14ac:dyDescent="0.35">
      <c r="A15" s="3" t="s">
        <v>149</v>
      </c>
      <c r="B15" s="3">
        <v>228312189</v>
      </c>
      <c r="C15" s="3" t="s">
        <v>16</v>
      </c>
      <c r="D15" s="3" t="s">
        <v>23</v>
      </c>
      <c r="E15" s="3">
        <v>0.69</v>
      </c>
      <c r="F15" s="3">
        <v>1.4102699999999999</v>
      </c>
      <c r="G15" s="3">
        <v>1.3970800000000001</v>
      </c>
      <c r="H15" s="9"/>
      <c r="I15" s="3" t="s">
        <v>151</v>
      </c>
      <c r="J15" s="3">
        <v>1.39713</v>
      </c>
      <c r="K15" s="3">
        <v>0</v>
      </c>
      <c r="L15" s="3">
        <v>0</v>
      </c>
      <c r="M15" s="10">
        <v>476.56</v>
      </c>
      <c r="N15" s="10"/>
    </row>
    <row r="16" spans="1:14" ht="20" x14ac:dyDescent="0.35">
      <c r="A16" s="2" t="s">
        <v>152</v>
      </c>
      <c r="B16" s="2">
        <v>228563147</v>
      </c>
      <c r="C16" s="2" t="s">
        <v>12</v>
      </c>
      <c r="D16" s="2" t="s">
        <v>13</v>
      </c>
      <c r="E16" s="2">
        <v>0.35</v>
      </c>
      <c r="F16" s="2">
        <v>58.018000000000001</v>
      </c>
      <c r="G16" s="2">
        <v>59.203000000000003</v>
      </c>
      <c r="H16" s="8"/>
      <c r="I16" s="2" t="s">
        <v>153</v>
      </c>
      <c r="J16" s="2">
        <v>59.192999999999998</v>
      </c>
      <c r="K16" s="2">
        <v>0</v>
      </c>
      <c r="L16" s="2">
        <v>0.28999999999999998</v>
      </c>
      <c r="M16" s="11">
        <v>302.52</v>
      </c>
      <c r="N16" s="11"/>
    </row>
    <row r="17" spans="1:14" ht="20" x14ac:dyDescent="0.35">
      <c r="A17" s="3" t="s">
        <v>152</v>
      </c>
      <c r="B17" s="3">
        <v>228563136</v>
      </c>
      <c r="C17" s="3" t="s">
        <v>12</v>
      </c>
      <c r="D17" s="3" t="s">
        <v>13</v>
      </c>
      <c r="E17" s="3">
        <v>0.35</v>
      </c>
      <c r="F17" s="3">
        <v>58.018000000000001</v>
      </c>
      <c r="G17" s="3">
        <v>58.654000000000003</v>
      </c>
      <c r="H17" s="9"/>
      <c r="I17" s="3" t="s">
        <v>154</v>
      </c>
      <c r="J17" s="3">
        <v>58.658000000000001</v>
      </c>
      <c r="K17" s="3">
        <v>0</v>
      </c>
      <c r="L17" s="3">
        <v>0</v>
      </c>
      <c r="M17" s="10">
        <v>165.78</v>
      </c>
      <c r="N17" s="10"/>
    </row>
    <row r="18" spans="1:14" ht="20" x14ac:dyDescent="0.35">
      <c r="A18" s="2" t="s">
        <v>155</v>
      </c>
      <c r="B18" s="2">
        <v>228733667</v>
      </c>
      <c r="C18" s="2" t="s">
        <v>76</v>
      </c>
      <c r="D18" s="2" t="s">
        <v>23</v>
      </c>
      <c r="E18" s="2">
        <v>0.1</v>
      </c>
      <c r="F18" s="2">
        <v>4157.29</v>
      </c>
      <c r="G18" s="2">
        <v>4167.2</v>
      </c>
      <c r="H18" s="8"/>
      <c r="I18" s="2" t="s">
        <v>156</v>
      </c>
      <c r="J18" s="2">
        <v>4167.2</v>
      </c>
      <c r="K18" s="2">
        <v>0</v>
      </c>
      <c r="L18" s="2">
        <v>0</v>
      </c>
      <c r="M18" s="11">
        <v>-74.84</v>
      </c>
      <c r="N18" s="11"/>
    </row>
    <row r="19" spans="1:14" ht="20" x14ac:dyDescent="0.35">
      <c r="A19" s="3" t="s">
        <v>155</v>
      </c>
      <c r="B19" s="3">
        <v>228733665</v>
      </c>
      <c r="C19" s="3" t="s">
        <v>76</v>
      </c>
      <c r="D19" s="3" t="s">
        <v>23</v>
      </c>
      <c r="E19" s="3">
        <v>0.1</v>
      </c>
      <c r="F19" s="3">
        <v>4157.28</v>
      </c>
      <c r="G19" s="3">
        <v>4167.2</v>
      </c>
      <c r="H19" s="9"/>
      <c r="I19" s="3" t="s">
        <v>156</v>
      </c>
      <c r="J19" s="3">
        <v>4167.2</v>
      </c>
      <c r="K19" s="3">
        <v>0</v>
      </c>
      <c r="L19" s="3">
        <v>0</v>
      </c>
      <c r="M19" s="10">
        <v>-74.92</v>
      </c>
      <c r="N19" s="10"/>
    </row>
    <row r="20" spans="1:14" ht="20" x14ac:dyDescent="0.35">
      <c r="A20" s="2" t="s">
        <v>157</v>
      </c>
      <c r="B20" s="2">
        <v>228974282</v>
      </c>
      <c r="C20" s="2" t="s">
        <v>42</v>
      </c>
      <c r="D20" s="2" t="s">
        <v>23</v>
      </c>
      <c r="E20" s="2">
        <v>1.6</v>
      </c>
      <c r="F20" s="2">
        <v>6804.97</v>
      </c>
      <c r="G20" s="2">
        <v>6804.97</v>
      </c>
      <c r="H20" s="8"/>
      <c r="I20" s="2" t="s">
        <v>158</v>
      </c>
      <c r="J20" s="2">
        <v>6805.07</v>
      </c>
      <c r="K20" s="2">
        <v>0</v>
      </c>
      <c r="L20" s="2">
        <v>0</v>
      </c>
      <c r="M20" s="11">
        <v>-1.21</v>
      </c>
      <c r="N20" s="11"/>
    </row>
    <row r="21" spans="1:14" ht="20" x14ac:dyDescent="0.35">
      <c r="A21" s="3" t="s">
        <v>157</v>
      </c>
      <c r="B21" s="3">
        <v>228974286</v>
      </c>
      <c r="C21" s="3" t="s">
        <v>42</v>
      </c>
      <c r="D21" s="3" t="s">
        <v>23</v>
      </c>
      <c r="E21" s="3">
        <v>1.6</v>
      </c>
      <c r="F21" s="3">
        <v>6804.97</v>
      </c>
      <c r="G21" s="3">
        <v>6804.97</v>
      </c>
      <c r="H21" s="9"/>
      <c r="I21" s="3" t="s">
        <v>158</v>
      </c>
      <c r="J21" s="3">
        <v>6805.07</v>
      </c>
      <c r="K21" s="3">
        <v>0</v>
      </c>
      <c r="L21" s="3">
        <v>0</v>
      </c>
      <c r="M21" s="10">
        <v>-1.21</v>
      </c>
      <c r="N21" s="10"/>
    </row>
    <row r="22" spans="1:14" ht="20" x14ac:dyDescent="0.35">
      <c r="A22" s="2" t="s">
        <v>159</v>
      </c>
      <c r="B22" s="2">
        <v>229349878</v>
      </c>
      <c r="C22" s="2" t="s">
        <v>42</v>
      </c>
      <c r="D22" s="2" t="s">
        <v>23</v>
      </c>
      <c r="E22" s="2">
        <v>2.15</v>
      </c>
      <c r="F22" s="2">
        <v>6834.15</v>
      </c>
      <c r="G22" s="2">
        <v>6844.3</v>
      </c>
      <c r="H22" s="8"/>
      <c r="I22" s="2" t="s">
        <v>160</v>
      </c>
      <c r="J22" s="2">
        <v>6844.32</v>
      </c>
      <c r="K22" s="2">
        <v>0</v>
      </c>
      <c r="L22" s="2">
        <v>0</v>
      </c>
      <c r="M22" s="11">
        <v>-164.87</v>
      </c>
      <c r="N22" s="11"/>
    </row>
    <row r="23" spans="1:14" ht="20" x14ac:dyDescent="0.35">
      <c r="A23" s="3" t="s">
        <v>161</v>
      </c>
      <c r="B23" s="3">
        <v>229349866</v>
      </c>
      <c r="C23" s="3" t="s">
        <v>42</v>
      </c>
      <c r="D23" s="3" t="s">
        <v>23</v>
      </c>
      <c r="E23" s="3">
        <v>2.15</v>
      </c>
      <c r="F23" s="3">
        <v>6834.1</v>
      </c>
      <c r="G23" s="3">
        <v>6844.3</v>
      </c>
      <c r="H23" s="9"/>
      <c r="I23" s="3" t="s">
        <v>160</v>
      </c>
      <c r="J23" s="3">
        <v>6844.32</v>
      </c>
      <c r="K23" s="3">
        <v>0</v>
      </c>
      <c r="L23" s="3">
        <v>0</v>
      </c>
      <c r="M23" s="10">
        <v>-165.68</v>
      </c>
      <c r="N23" s="10"/>
    </row>
    <row r="24" spans="1:14" ht="20" x14ac:dyDescent="0.35">
      <c r="A24" s="2" t="s">
        <v>162</v>
      </c>
      <c r="B24" s="2">
        <v>229351347</v>
      </c>
      <c r="C24" s="2" t="s">
        <v>12</v>
      </c>
      <c r="D24" s="2" t="s">
        <v>13</v>
      </c>
      <c r="E24" s="2">
        <v>0.35</v>
      </c>
      <c r="F24" s="2">
        <v>59.018000000000001</v>
      </c>
      <c r="G24" s="2">
        <v>59.203000000000003</v>
      </c>
      <c r="H24" s="8"/>
      <c r="I24" s="2" t="s">
        <v>153</v>
      </c>
      <c r="J24" s="2">
        <v>59.19</v>
      </c>
      <c r="K24" s="2">
        <v>0</v>
      </c>
      <c r="L24" s="2">
        <v>0</v>
      </c>
      <c r="M24" s="11">
        <v>44.29</v>
      </c>
      <c r="N24" s="11"/>
    </row>
    <row r="25" spans="1:14" ht="20" x14ac:dyDescent="0.35">
      <c r="A25" s="3" t="s">
        <v>162</v>
      </c>
      <c r="B25" s="3">
        <v>229351380</v>
      </c>
      <c r="C25" s="3" t="s">
        <v>12</v>
      </c>
      <c r="D25" s="3" t="s">
        <v>13</v>
      </c>
      <c r="E25" s="3">
        <v>0.35</v>
      </c>
      <c r="F25" s="3">
        <v>59.018000000000001</v>
      </c>
      <c r="G25" s="3">
        <v>59.203000000000003</v>
      </c>
      <c r="H25" s="9"/>
      <c r="I25" s="3" t="s">
        <v>153</v>
      </c>
      <c r="J25" s="3">
        <v>59.192999999999998</v>
      </c>
      <c r="K25" s="3">
        <v>0</v>
      </c>
      <c r="L25" s="3">
        <v>0</v>
      </c>
      <c r="M25" s="10">
        <v>45.06</v>
      </c>
      <c r="N25" s="10"/>
    </row>
    <row r="26" spans="1:14" ht="20" x14ac:dyDescent="0.35">
      <c r="A26" s="2" t="s">
        <v>163</v>
      </c>
      <c r="B26" s="2">
        <v>229689021</v>
      </c>
      <c r="C26" s="2" t="s">
        <v>16</v>
      </c>
      <c r="D26" s="2" t="s">
        <v>13</v>
      </c>
      <c r="E26" s="2">
        <v>4.75</v>
      </c>
      <c r="F26" s="2">
        <v>1.3948199999999999</v>
      </c>
      <c r="G26" s="2">
        <v>1.3945399999999999</v>
      </c>
      <c r="H26" s="8"/>
      <c r="I26" s="2" t="s">
        <v>164</v>
      </c>
      <c r="J26" s="2">
        <v>1.3945700000000001</v>
      </c>
      <c r="K26" s="2">
        <v>0</v>
      </c>
      <c r="L26" s="2">
        <v>0</v>
      </c>
      <c r="M26" s="11">
        <v>-65.14</v>
      </c>
      <c r="N26" s="11"/>
    </row>
    <row r="27" spans="1:14" ht="20" x14ac:dyDescent="0.35">
      <c r="A27" s="3" t="s">
        <v>165</v>
      </c>
      <c r="B27" s="3">
        <v>229689860</v>
      </c>
      <c r="C27" s="3" t="s">
        <v>16</v>
      </c>
      <c r="D27" s="3" t="s">
        <v>13</v>
      </c>
      <c r="E27" s="3">
        <v>3.93</v>
      </c>
      <c r="F27" s="3">
        <v>1.3950199999999999</v>
      </c>
      <c r="G27" s="3">
        <v>1.39455</v>
      </c>
      <c r="H27" s="9"/>
      <c r="I27" s="3" t="s">
        <v>166</v>
      </c>
      <c r="J27" s="3">
        <v>1.3945700000000001</v>
      </c>
      <c r="K27" s="3">
        <v>0</v>
      </c>
      <c r="L27" s="3">
        <v>0</v>
      </c>
      <c r="M27" s="10">
        <v>-97.01</v>
      </c>
      <c r="N27" s="10"/>
    </row>
    <row r="28" spans="1:14" ht="20" x14ac:dyDescent="0.35">
      <c r="A28" s="2" t="s">
        <v>167</v>
      </c>
      <c r="B28" s="2">
        <v>229849279</v>
      </c>
      <c r="C28" s="2" t="s">
        <v>76</v>
      </c>
      <c r="D28" s="2" t="s">
        <v>23</v>
      </c>
      <c r="E28" s="2">
        <v>0.2</v>
      </c>
      <c r="F28" s="2">
        <v>4204.66</v>
      </c>
      <c r="G28" s="2">
        <v>4213.01</v>
      </c>
      <c r="H28" s="8"/>
      <c r="I28" s="2" t="s">
        <v>168</v>
      </c>
      <c r="J28" s="2">
        <v>4213.08</v>
      </c>
      <c r="K28" s="2">
        <v>0</v>
      </c>
      <c r="L28" s="2">
        <v>0</v>
      </c>
      <c r="M28" s="11">
        <v>-126.45</v>
      </c>
      <c r="N28" s="11"/>
    </row>
    <row r="29" spans="1:14" ht="20" x14ac:dyDescent="0.35">
      <c r="A29" s="3" t="s">
        <v>167</v>
      </c>
      <c r="B29" s="3">
        <v>229849290</v>
      </c>
      <c r="C29" s="3" t="s">
        <v>76</v>
      </c>
      <c r="D29" s="3" t="s">
        <v>23</v>
      </c>
      <c r="E29" s="3">
        <v>0.2</v>
      </c>
      <c r="F29" s="3">
        <v>4204.66</v>
      </c>
      <c r="G29" s="3">
        <v>4213.01</v>
      </c>
      <c r="H29" s="9"/>
      <c r="I29" s="3" t="s">
        <v>168</v>
      </c>
      <c r="J29" s="3">
        <v>4213.08</v>
      </c>
      <c r="K29" s="3">
        <v>0</v>
      </c>
      <c r="L29" s="3">
        <v>0</v>
      </c>
      <c r="M29" s="10">
        <v>-126.45</v>
      </c>
      <c r="N29" s="10"/>
    </row>
    <row r="30" spans="1:14" ht="20" x14ac:dyDescent="0.35">
      <c r="A30" s="2" t="s">
        <v>169</v>
      </c>
      <c r="B30" s="2">
        <v>229837786</v>
      </c>
      <c r="C30" s="2" t="s">
        <v>42</v>
      </c>
      <c r="D30" s="2" t="s">
        <v>23</v>
      </c>
      <c r="E30" s="2">
        <v>1.3</v>
      </c>
      <c r="F30" s="2">
        <v>6868.35</v>
      </c>
      <c r="G30" s="2">
        <v>6868.35</v>
      </c>
      <c r="H30" s="8"/>
      <c r="I30" s="2" t="s">
        <v>170</v>
      </c>
      <c r="J30" s="2">
        <v>6868.77</v>
      </c>
      <c r="K30" s="2">
        <v>0</v>
      </c>
      <c r="L30" s="2">
        <v>0</v>
      </c>
      <c r="M30" s="11">
        <v>-4.09</v>
      </c>
      <c r="N30" s="11"/>
    </row>
    <row r="31" spans="1:14" ht="20" x14ac:dyDescent="0.35">
      <c r="A31" s="3" t="s">
        <v>169</v>
      </c>
      <c r="B31" s="3">
        <v>229837775</v>
      </c>
      <c r="C31" s="3" t="s">
        <v>42</v>
      </c>
      <c r="D31" s="3" t="s">
        <v>23</v>
      </c>
      <c r="E31" s="3">
        <v>1.3</v>
      </c>
      <c r="F31" s="3">
        <v>6868.27</v>
      </c>
      <c r="G31" s="3">
        <v>6849.97</v>
      </c>
      <c r="H31" s="9"/>
      <c r="I31" s="3" t="s">
        <v>171</v>
      </c>
      <c r="J31" s="3">
        <v>6850.14</v>
      </c>
      <c r="K31" s="3">
        <v>0</v>
      </c>
      <c r="L31" s="3">
        <v>0</v>
      </c>
      <c r="M31" s="10">
        <v>176.59</v>
      </c>
      <c r="N31" s="10"/>
    </row>
    <row r="32" spans="1:14" ht="20" x14ac:dyDescent="0.35">
      <c r="A32" s="2" t="s">
        <v>172</v>
      </c>
      <c r="B32" s="2">
        <v>230001157</v>
      </c>
      <c r="C32" s="2" t="s">
        <v>76</v>
      </c>
      <c r="D32" s="2" t="s">
        <v>13</v>
      </c>
      <c r="E32" s="2">
        <v>0.09</v>
      </c>
      <c r="F32" s="2">
        <v>4199.2299999999996</v>
      </c>
      <c r="G32" s="2">
        <v>4272.04</v>
      </c>
      <c r="H32" s="8"/>
      <c r="I32" s="2" t="s">
        <v>173</v>
      </c>
      <c r="J32" s="2">
        <v>4271.88</v>
      </c>
      <c r="K32" s="2">
        <v>0</v>
      </c>
      <c r="L32" s="2">
        <v>0</v>
      </c>
      <c r="M32" s="11">
        <v>487.38</v>
      </c>
      <c r="N32" s="11"/>
    </row>
    <row r="33" spans="1:14" ht="20" x14ac:dyDescent="0.35">
      <c r="A33" s="3" t="s">
        <v>172</v>
      </c>
      <c r="B33" s="3">
        <v>230001172</v>
      </c>
      <c r="C33" s="3" t="s">
        <v>76</v>
      </c>
      <c r="D33" s="3" t="s">
        <v>13</v>
      </c>
      <c r="E33" s="3">
        <v>0.09</v>
      </c>
      <c r="F33" s="3">
        <v>4199.29</v>
      </c>
      <c r="G33" s="3">
        <v>4320.95</v>
      </c>
      <c r="H33" s="9"/>
      <c r="I33" s="3" t="s">
        <v>174</v>
      </c>
      <c r="J33" s="3">
        <v>4320.71</v>
      </c>
      <c r="K33" s="3">
        <v>0</v>
      </c>
      <c r="L33" s="3">
        <v>0</v>
      </c>
      <c r="M33" s="10">
        <v>817.69</v>
      </c>
      <c r="N33" s="10"/>
    </row>
    <row r="34" spans="1:14" ht="20" x14ac:dyDescent="0.35">
      <c r="A34" s="2" t="s">
        <v>175</v>
      </c>
      <c r="B34" s="2">
        <v>230170863</v>
      </c>
      <c r="C34" s="2" t="s">
        <v>46</v>
      </c>
      <c r="D34" s="2" t="s">
        <v>13</v>
      </c>
      <c r="E34" s="2">
        <v>1.84</v>
      </c>
      <c r="F34" s="2">
        <v>1.1634100000000001</v>
      </c>
      <c r="G34" s="2">
        <v>1.1634100000000001</v>
      </c>
      <c r="H34" s="8"/>
      <c r="I34" s="2" t="s">
        <v>176</v>
      </c>
      <c r="J34" s="2">
        <v>1.1634100000000001</v>
      </c>
      <c r="K34" s="2">
        <v>0</v>
      </c>
      <c r="L34" s="2">
        <v>0</v>
      </c>
      <c r="M34" s="11">
        <v>0</v>
      </c>
      <c r="N34" s="11"/>
    </row>
    <row r="35" spans="1:14" ht="20" x14ac:dyDescent="0.35">
      <c r="A35" s="3" t="s">
        <v>175</v>
      </c>
      <c r="B35" s="3">
        <v>230170850</v>
      </c>
      <c r="C35" s="3" t="s">
        <v>46</v>
      </c>
      <c r="D35" s="3" t="s">
        <v>13</v>
      </c>
      <c r="E35" s="3">
        <v>1.84</v>
      </c>
      <c r="F35" s="3">
        <v>1.1634100000000001</v>
      </c>
      <c r="G35" s="3">
        <v>1.1634100000000001</v>
      </c>
      <c r="H35" s="9"/>
      <c r="I35" s="3" t="s">
        <v>176</v>
      </c>
      <c r="J35" s="3">
        <v>1.1634100000000001</v>
      </c>
      <c r="K35" s="3">
        <v>0</v>
      </c>
      <c r="L35" s="3">
        <v>0</v>
      </c>
      <c r="M35" s="10">
        <v>0</v>
      </c>
      <c r="N35" s="10"/>
    </row>
    <row r="36" spans="1:14" ht="20" x14ac:dyDescent="0.35">
      <c r="A36" s="2" t="s">
        <v>177</v>
      </c>
      <c r="B36" s="2">
        <v>230430031</v>
      </c>
      <c r="C36" s="2" t="s">
        <v>42</v>
      </c>
      <c r="D36" s="2" t="s">
        <v>23</v>
      </c>
      <c r="E36" s="2">
        <v>1.38</v>
      </c>
      <c r="F36" s="2">
        <v>6842.72</v>
      </c>
      <c r="G36" s="2">
        <v>6863.07</v>
      </c>
      <c r="H36" s="8"/>
      <c r="I36" s="2" t="s">
        <v>178</v>
      </c>
      <c r="J36" s="2">
        <v>6863.22</v>
      </c>
      <c r="K36" s="2">
        <v>0</v>
      </c>
      <c r="L36" s="2">
        <v>0</v>
      </c>
      <c r="M36" s="11">
        <v>-210.71</v>
      </c>
      <c r="N36" s="11"/>
    </row>
    <row r="37" spans="1:14" ht="20" x14ac:dyDescent="0.35">
      <c r="A37" s="3" t="s">
        <v>177</v>
      </c>
      <c r="B37" s="3">
        <v>230430045</v>
      </c>
      <c r="C37" s="3" t="s">
        <v>42</v>
      </c>
      <c r="D37" s="3" t="s">
        <v>23</v>
      </c>
      <c r="E37" s="3">
        <v>1.38</v>
      </c>
      <c r="F37" s="3">
        <v>6842.7</v>
      </c>
      <c r="G37" s="3">
        <v>6863.07</v>
      </c>
      <c r="H37" s="9"/>
      <c r="I37" s="3" t="s">
        <v>178</v>
      </c>
      <c r="J37" s="3">
        <v>6863.22</v>
      </c>
      <c r="K37" s="3">
        <v>0</v>
      </c>
      <c r="L37" s="3">
        <v>0</v>
      </c>
      <c r="M37" s="10">
        <v>-210.92</v>
      </c>
      <c r="N37" s="10"/>
    </row>
    <row r="38" spans="1:14" ht="20" x14ac:dyDescent="0.35">
      <c r="A38" s="2" t="s">
        <v>179</v>
      </c>
      <c r="B38" s="2">
        <v>230588999</v>
      </c>
      <c r="C38" s="2" t="s">
        <v>42</v>
      </c>
      <c r="D38" s="2" t="s">
        <v>23</v>
      </c>
      <c r="E38" s="2">
        <v>1.23</v>
      </c>
      <c r="F38" s="2">
        <v>6896.1</v>
      </c>
      <c r="G38" s="2">
        <v>6790.8</v>
      </c>
      <c r="H38" s="8"/>
      <c r="I38" s="2" t="s">
        <v>180</v>
      </c>
      <c r="J38" s="2">
        <v>6790.8</v>
      </c>
      <c r="K38" s="2">
        <v>0</v>
      </c>
      <c r="L38" s="2">
        <v>0</v>
      </c>
      <c r="M38" s="11">
        <v>967.36</v>
      </c>
      <c r="N38" s="11"/>
    </row>
    <row r="39" spans="1:14" ht="20" x14ac:dyDescent="0.35">
      <c r="A39" s="3" t="s">
        <v>179</v>
      </c>
      <c r="B39" s="3">
        <v>230589014</v>
      </c>
      <c r="C39" s="3" t="s">
        <v>42</v>
      </c>
      <c r="D39" s="3" t="s">
        <v>23</v>
      </c>
      <c r="E39" s="3">
        <v>1.23</v>
      </c>
      <c r="F39" s="3">
        <v>6896.1</v>
      </c>
      <c r="G39" s="3">
        <v>6738.93</v>
      </c>
      <c r="H39" s="9"/>
      <c r="I39" s="3" t="s">
        <v>181</v>
      </c>
      <c r="J39" s="3">
        <v>6738.87</v>
      </c>
      <c r="K39" s="3">
        <v>0</v>
      </c>
      <c r="L39" s="3">
        <v>0</v>
      </c>
      <c r="M39" s="10" t="s">
        <v>182</v>
      </c>
      <c r="N39" s="10"/>
    </row>
    <row r="40" spans="1:14" ht="20" x14ac:dyDescent="0.35">
      <c r="A40" s="2" t="s">
        <v>183</v>
      </c>
      <c r="B40" s="2">
        <v>230641925</v>
      </c>
      <c r="C40" s="2" t="s">
        <v>12</v>
      </c>
      <c r="D40" s="2" t="s">
        <v>13</v>
      </c>
      <c r="E40" s="2">
        <v>1.2</v>
      </c>
      <c r="F40" s="2">
        <v>57.488</v>
      </c>
      <c r="G40" s="2">
        <v>57.198</v>
      </c>
      <c r="H40" s="8"/>
      <c r="I40" s="2" t="s">
        <v>184</v>
      </c>
      <c r="J40" s="2">
        <v>57.192999999999998</v>
      </c>
      <c r="K40" s="2">
        <v>0</v>
      </c>
      <c r="L40" s="2">
        <v>0</v>
      </c>
      <c r="M40" s="11">
        <v>-269.99</v>
      </c>
      <c r="N40" s="11"/>
    </row>
    <row r="41" spans="1:14" ht="20" x14ac:dyDescent="0.35">
      <c r="A41" s="3" t="s">
        <v>183</v>
      </c>
      <c r="B41" s="3">
        <v>230641968</v>
      </c>
      <c r="C41" s="3" t="s">
        <v>12</v>
      </c>
      <c r="D41" s="3" t="s">
        <v>13</v>
      </c>
      <c r="E41" s="3">
        <v>1.2</v>
      </c>
      <c r="F41" s="3">
        <v>57.488</v>
      </c>
      <c r="G41" s="3">
        <v>57.198</v>
      </c>
      <c r="H41" s="9"/>
      <c r="I41" s="3" t="s">
        <v>184</v>
      </c>
      <c r="J41" s="3">
        <v>57.192999999999998</v>
      </c>
      <c r="K41" s="3">
        <v>0</v>
      </c>
      <c r="L41" s="3">
        <v>0</v>
      </c>
      <c r="M41" s="10">
        <v>-269.99</v>
      </c>
      <c r="N41" s="10"/>
    </row>
    <row r="42" spans="1:14" ht="20" x14ac:dyDescent="0.35">
      <c r="A42" s="2" t="s">
        <v>185</v>
      </c>
      <c r="B42" s="2">
        <v>230745627</v>
      </c>
      <c r="C42" s="2" t="s">
        <v>12</v>
      </c>
      <c r="D42" s="2" t="s">
        <v>13</v>
      </c>
      <c r="E42" s="2">
        <v>0.68</v>
      </c>
      <c r="F42" s="2">
        <v>57.548000000000002</v>
      </c>
      <c r="G42" s="2">
        <v>57.15</v>
      </c>
      <c r="H42" s="8"/>
      <c r="I42" s="2" t="s">
        <v>186</v>
      </c>
      <c r="J42" s="2">
        <v>57.137</v>
      </c>
      <c r="K42" s="2">
        <v>0</v>
      </c>
      <c r="L42" s="2">
        <v>0</v>
      </c>
      <c r="M42" s="11">
        <v>-213.01</v>
      </c>
      <c r="N42" s="11"/>
    </row>
    <row r="43" spans="1:14" ht="20" x14ac:dyDescent="0.35">
      <c r="A43" s="3" t="s">
        <v>185</v>
      </c>
      <c r="B43" s="3">
        <v>230745643</v>
      </c>
      <c r="C43" s="3" t="s">
        <v>12</v>
      </c>
      <c r="D43" s="3" t="s">
        <v>13</v>
      </c>
      <c r="E43" s="3">
        <v>0.68</v>
      </c>
      <c r="F43" s="3">
        <v>57.548000000000002</v>
      </c>
      <c r="G43" s="3">
        <v>57.15</v>
      </c>
      <c r="H43" s="9"/>
      <c r="I43" s="3" t="s">
        <v>186</v>
      </c>
      <c r="J43" s="3">
        <v>57.137</v>
      </c>
      <c r="K43" s="3">
        <v>0</v>
      </c>
      <c r="L43" s="3">
        <v>0</v>
      </c>
      <c r="M43" s="10">
        <v>-213.01</v>
      </c>
      <c r="N43" s="10"/>
    </row>
    <row r="44" spans="1:14" ht="20" x14ac:dyDescent="0.35">
      <c r="A44" s="2" t="s">
        <v>187</v>
      </c>
      <c r="B44" s="2">
        <v>230815924</v>
      </c>
      <c r="C44" s="2" t="s">
        <v>31</v>
      </c>
      <c r="D44" s="2" t="s">
        <v>13</v>
      </c>
      <c r="E44" s="2">
        <v>0.93</v>
      </c>
      <c r="F44" s="2">
        <v>1.3377300000000001</v>
      </c>
      <c r="G44" s="2">
        <v>1.3365499999999999</v>
      </c>
      <c r="H44" s="8"/>
      <c r="I44" s="2" t="s">
        <v>188</v>
      </c>
      <c r="J44" s="2">
        <v>1.3365499999999999</v>
      </c>
      <c r="K44" s="2">
        <v>0</v>
      </c>
      <c r="L44" s="2">
        <v>0</v>
      </c>
      <c r="M44" s="11">
        <v>-83.75</v>
      </c>
      <c r="N44" s="11"/>
    </row>
    <row r="45" spans="1:14" ht="20" x14ac:dyDescent="0.35">
      <c r="A45" s="3" t="s">
        <v>187</v>
      </c>
      <c r="B45" s="3">
        <v>230815940</v>
      </c>
      <c r="C45" s="3" t="s">
        <v>31</v>
      </c>
      <c r="D45" s="3" t="s">
        <v>13</v>
      </c>
      <c r="E45" s="3">
        <v>0.93</v>
      </c>
      <c r="F45" s="3">
        <v>1.3377300000000001</v>
      </c>
      <c r="G45" s="3">
        <v>1.3365499999999999</v>
      </c>
      <c r="H45" s="9"/>
      <c r="I45" s="3" t="s">
        <v>188</v>
      </c>
      <c r="J45" s="3">
        <v>1.3365499999999999</v>
      </c>
      <c r="K45" s="3">
        <v>0</v>
      </c>
      <c r="L45" s="3">
        <v>0</v>
      </c>
      <c r="M45" s="10">
        <v>-83.75</v>
      </c>
      <c r="N45" s="10"/>
    </row>
    <row r="46" spans="1:14" ht="20" x14ac:dyDescent="0.35">
      <c r="A46" s="2" t="s">
        <v>189</v>
      </c>
      <c r="B46" s="2">
        <v>231221976</v>
      </c>
      <c r="C46" s="2" t="s">
        <v>76</v>
      </c>
      <c r="D46" s="2" t="s">
        <v>23</v>
      </c>
      <c r="E46" s="2">
        <v>0.09</v>
      </c>
      <c r="F46" s="2">
        <v>4311.1000000000004</v>
      </c>
      <c r="G46" s="2">
        <v>4343.34</v>
      </c>
      <c r="H46" s="8"/>
      <c r="I46" s="2" t="s">
        <v>190</v>
      </c>
      <c r="J46" s="2">
        <v>4343.34</v>
      </c>
      <c r="K46" s="2">
        <v>0</v>
      </c>
      <c r="L46" s="2">
        <v>0</v>
      </c>
      <c r="M46" s="11">
        <v>-217.22</v>
      </c>
      <c r="N46" s="11"/>
    </row>
    <row r="47" spans="1:14" ht="20" x14ac:dyDescent="0.35">
      <c r="A47" s="3" t="s">
        <v>189</v>
      </c>
      <c r="B47" s="3">
        <v>231221922</v>
      </c>
      <c r="C47" s="3" t="s">
        <v>76</v>
      </c>
      <c r="D47" s="3" t="s">
        <v>23</v>
      </c>
      <c r="E47" s="3">
        <v>0.09</v>
      </c>
      <c r="F47" s="3">
        <v>4311.1000000000004</v>
      </c>
      <c r="G47" s="3">
        <v>4343.34</v>
      </c>
      <c r="H47" s="9"/>
      <c r="I47" s="3" t="s">
        <v>190</v>
      </c>
      <c r="J47" s="3">
        <v>4343.34</v>
      </c>
      <c r="K47" s="3">
        <v>0</v>
      </c>
      <c r="L47" s="3">
        <v>0</v>
      </c>
      <c r="M47" s="10">
        <v>-217.22</v>
      </c>
      <c r="N47" s="10"/>
    </row>
    <row r="48" spans="1:14" ht="20" x14ac:dyDescent="0.35">
      <c r="A48" s="2" t="s">
        <v>191</v>
      </c>
      <c r="B48" s="2">
        <v>231436538</v>
      </c>
      <c r="C48" s="2" t="s">
        <v>12</v>
      </c>
      <c r="D48" s="2" t="s">
        <v>13</v>
      </c>
      <c r="E48" s="2">
        <v>1.1200000000000001</v>
      </c>
      <c r="F48" s="2">
        <v>55.993000000000002</v>
      </c>
      <c r="G48" s="2">
        <v>55.707999999999998</v>
      </c>
      <c r="H48" s="8"/>
      <c r="I48" s="2" t="s">
        <v>192</v>
      </c>
      <c r="J48" s="2">
        <v>55.698999999999998</v>
      </c>
      <c r="K48" s="2">
        <v>0</v>
      </c>
      <c r="L48" s="2">
        <v>0</v>
      </c>
      <c r="M48" s="11">
        <v>-251.27</v>
      </c>
      <c r="N48" s="11"/>
    </row>
    <row r="49" spans="1:14" ht="20" x14ac:dyDescent="0.35">
      <c r="A49" s="3" t="s">
        <v>191</v>
      </c>
      <c r="B49" s="3">
        <v>231436578</v>
      </c>
      <c r="C49" s="3" t="s">
        <v>12</v>
      </c>
      <c r="D49" s="3" t="s">
        <v>13</v>
      </c>
      <c r="E49" s="3">
        <v>1.1200000000000001</v>
      </c>
      <c r="F49" s="3">
        <v>55.993000000000002</v>
      </c>
      <c r="G49" s="3">
        <v>55.707999999999998</v>
      </c>
      <c r="H49" s="9"/>
      <c r="I49" s="3" t="s">
        <v>192</v>
      </c>
      <c r="J49" s="3">
        <v>55.698999999999998</v>
      </c>
      <c r="K49" s="3">
        <v>0</v>
      </c>
      <c r="L49" s="3">
        <v>0</v>
      </c>
      <c r="M49" s="10">
        <v>-251.27</v>
      </c>
      <c r="N49" s="10"/>
    </row>
    <row r="50" spans="1:14" ht="20" x14ac:dyDescent="0.35">
      <c r="A50" s="2" t="s">
        <v>193</v>
      </c>
      <c r="B50" s="2">
        <v>231613050</v>
      </c>
      <c r="C50" s="2" t="s">
        <v>12</v>
      </c>
      <c r="D50" s="2" t="s">
        <v>13</v>
      </c>
      <c r="E50" s="2">
        <v>0.97</v>
      </c>
      <c r="F50" s="2">
        <v>55.978000000000002</v>
      </c>
      <c r="G50" s="2">
        <v>57.868000000000002</v>
      </c>
      <c r="H50" s="8"/>
      <c r="I50" s="2" t="s">
        <v>194</v>
      </c>
      <c r="J50" s="2">
        <v>57.863</v>
      </c>
      <c r="K50" s="2">
        <v>0</v>
      </c>
      <c r="L50" s="2">
        <v>0</v>
      </c>
      <c r="M50" s="11" t="s">
        <v>195</v>
      </c>
      <c r="N50" s="11"/>
    </row>
    <row r="51" spans="1:14" ht="20" x14ac:dyDescent="0.35">
      <c r="A51" s="3" t="s">
        <v>193</v>
      </c>
      <c r="B51" s="3">
        <v>231613027</v>
      </c>
      <c r="C51" s="3" t="s">
        <v>12</v>
      </c>
      <c r="D51" s="3" t="s">
        <v>13</v>
      </c>
      <c r="E51" s="3">
        <v>0.97</v>
      </c>
      <c r="F51" s="3">
        <v>55.978000000000002</v>
      </c>
      <c r="G51" s="3">
        <v>57.19</v>
      </c>
      <c r="H51" s="9"/>
      <c r="I51" s="3" t="s">
        <v>196</v>
      </c>
      <c r="J51" s="3">
        <v>57.302999999999997</v>
      </c>
      <c r="K51" s="3">
        <v>0</v>
      </c>
      <c r="L51" s="3">
        <v>0.28000000000000003</v>
      </c>
      <c r="M51" s="10">
        <v>933.87</v>
      </c>
      <c r="N51" s="10"/>
    </row>
    <row r="52" spans="1:14" ht="20" x14ac:dyDescent="0.35">
      <c r="A52" s="2" t="s">
        <v>197</v>
      </c>
      <c r="B52" s="2">
        <v>232201901</v>
      </c>
      <c r="C52" s="2" t="s">
        <v>76</v>
      </c>
      <c r="D52" s="2" t="s">
        <v>23</v>
      </c>
      <c r="E52" s="2">
        <v>0.09</v>
      </c>
      <c r="F52" s="2">
        <v>4469.4399999999996</v>
      </c>
      <c r="G52" s="2">
        <v>4502.42</v>
      </c>
      <c r="H52" s="8"/>
      <c r="I52" s="2" t="s">
        <v>198</v>
      </c>
      <c r="J52" s="2">
        <v>4502.5600000000004</v>
      </c>
      <c r="K52" s="2">
        <v>0</v>
      </c>
      <c r="L52" s="2">
        <v>0</v>
      </c>
      <c r="M52" s="11">
        <v>-220.68</v>
      </c>
      <c r="N52" s="11"/>
    </row>
    <row r="53" spans="1:14" ht="20" x14ac:dyDescent="0.35">
      <c r="A53" s="3" t="s">
        <v>197</v>
      </c>
      <c r="B53" s="3">
        <v>232201875</v>
      </c>
      <c r="C53" s="3" t="s">
        <v>76</v>
      </c>
      <c r="D53" s="3" t="s">
        <v>23</v>
      </c>
      <c r="E53" s="3">
        <v>0.09</v>
      </c>
      <c r="F53" s="3">
        <v>4469.4399999999996</v>
      </c>
      <c r="G53" s="3">
        <v>4502.42</v>
      </c>
      <c r="H53" s="9"/>
      <c r="I53" s="3" t="s">
        <v>198</v>
      </c>
      <c r="J53" s="3">
        <v>4502.5600000000004</v>
      </c>
      <c r="K53" s="3">
        <v>0</v>
      </c>
      <c r="L53" s="3">
        <v>0</v>
      </c>
      <c r="M53" s="10">
        <v>-220.68</v>
      </c>
      <c r="N53" s="10"/>
    </row>
    <row r="54" spans="1:14" ht="20" x14ac:dyDescent="0.35">
      <c r="A54" s="2" t="s">
        <v>199</v>
      </c>
      <c r="B54" s="2">
        <v>232244768</v>
      </c>
      <c r="C54" s="2" t="s">
        <v>46</v>
      </c>
      <c r="D54" s="2" t="s">
        <v>13</v>
      </c>
      <c r="E54" s="2">
        <v>2.06</v>
      </c>
      <c r="F54" s="2">
        <v>1.17906</v>
      </c>
      <c r="G54" s="2">
        <v>1.17635</v>
      </c>
      <c r="H54" s="8"/>
      <c r="I54" s="2" t="s">
        <v>200</v>
      </c>
      <c r="J54" s="2">
        <v>1.17635</v>
      </c>
      <c r="K54" s="2">
        <v>0</v>
      </c>
      <c r="L54" s="2">
        <v>0</v>
      </c>
      <c r="M54" s="11">
        <v>-422.28</v>
      </c>
      <c r="N54" s="11"/>
    </row>
    <row r="55" spans="1:14" ht="20" x14ac:dyDescent="0.35">
      <c r="A55" s="3" t="s">
        <v>199</v>
      </c>
      <c r="B55" s="3">
        <v>232244742</v>
      </c>
      <c r="C55" s="3" t="s">
        <v>46</v>
      </c>
      <c r="D55" s="3" t="s">
        <v>13</v>
      </c>
      <c r="E55" s="3">
        <v>2.06</v>
      </c>
      <c r="F55" s="3">
        <v>1.17906</v>
      </c>
      <c r="G55" s="3">
        <v>1.17635</v>
      </c>
      <c r="H55" s="9"/>
      <c r="I55" s="3" t="s">
        <v>200</v>
      </c>
      <c r="J55" s="3">
        <v>1.17635</v>
      </c>
      <c r="K55" s="3">
        <v>0</v>
      </c>
      <c r="L55" s="3">
        <v>0</v>
      </c>
      <c r="M55" s="10">
        <v>-422.28</v>
      </c>
      <c r="N55" s="10"/>
    </row>
    <row r="56" spans="1:14" ht="20" x14ac:dyDescent="0.35">
      <c r="A56" s="2" t="s">
        <v>201</v>
      </c>
      <c r="B56" s="2">
        <v>232551456</v>
      </c>
      <c r="C56" s="2" t="s">
        <v>76</v>
      </c>
      <c r="D56" s="2" t="s">
        <v>23</v>
      </c>
      <c r="E56" s="2">
        <v>7.0000000000000007E-2</v>
      </c>
      <c r="F56" s="2">
        <v>4492.38</v>
      </c>
      <c r="G56" s="2">
        <v>4374.2</v>
      </c>
      <c r="H56" s="8"/>
      <c r="I56" s="2" t="s">
        <v>202</v>
      </c>
      <c r="J56" s="2">
        <v>4374.75</v>
      </c>
      <c r="K56" s="2">
        <v>0</v>
      </c>
      <c r="L56" s="2">
        <v>0</v>
      </c>
      <c r="M56" s="11">
        <v>610.53</v>
      </c>
      <c r="N56" s="11"/>
    </row>
    <row r="57" spans="1:14" ht="20" x14ac:dyDescent="0.35">
      <c r="A57" s="3" t="s">
        <v>201</v>
      </c>
      <c r="B57" s="3">
        <v>232551490</v>
      </c>
      <c r="C57" s="3" t="s">
        <v>76</v>
      </c>
      <c r="D57" s="3" t="s">
        <v>23</v>
      </c>
      <c r="E57" s="3">
        <v>7.0000000000000007E-2</v>
      </c>
      <c r="F57" s="3">
        <v>4492.54</v>
      </c>
      <c r="G57" s="3">
        <v>4492.54</v>
      </c>
      <c r="H57" s="9"/>
      <c r="I57" s="3" t="s">
        <v>203</v>
      </c>
      <c r="J57" s="3">
        <v>4492.63</v>
      </c>
      <c r="K57" s="3">
        <v>0</v>
      </c>
      <c r="L57" s="3">
        <v>1.58</v>
      </c>
      <c r="M57" s="10">
        <v>-0.47</v>
      </c>
      <c r="N57" s="10"/>
    </row>
    <row r="58" spans="1:14" ht="20" x14ac:dyDescent="0.35">
      <c r="A58" s="2" t="s">
        <v>204</v>
      </c>
      <c r="B58" s="2">
        <v>232825862</v>
      </c>
      <c r="C58" s="2" t="s">
        <v>12</v>
      </c>
      <c r="D58" s="2" t="s">
        <v>23</v>
      </c>
      <c r="E58" s="2">
        <v>0.92</v>
      </c>
      <c r="F58" s="2">
        <v>57.802999999999997</v>
      </c>
      <c r="G58" s="2">
        <v>58.131</v>
      </c>
      <c r="H58" s="8"/>
      <c r="I58" s="2" t="s">
        <v>205</v>
      </c>
      <c r="J58" s="2">
        <v>58.137999999999998</v>
      </c>
      <c r="K58" s="2">
        <v>0</v>
      </c>
      <c r="L58" s="2">
        <v>0</v>
      </c>
      <c r="M58" s="11">
        <v>-233.69</v>
      </c>
      <c r="N58" s="11"/>
    </row>
    <row r="59" spans="1:14" ht="20" x14ac:dyDescent="0.35">
      <c r="A59" s="3" t="s">
        <v>204</v>
      </c>
      <c r="B59" s="3">
        <v>232825893</v>
      </c>
      <c r="C59" s="3" t="s">
        <v>12</v>
      </c>
      <c r="D59" s="3" t="s">
        <v>23</v>
      </c>
      <c r="E59" s="3">
        <v>0.92</v>
      </c>
      <c r="F59" s="3">
        <v>57.802999999999997</v>
      </c>
      <c r="G59" s="3">
        <v>58.131</v>
      </c>
      <c r="H59" s="9"/>
      <c r="I59" s="3" t="s">
        <v>205</v>
      </c>
      <c r="J59" s="3">
        <v>58.137999999999998</v>
      </c>
      <c r="K59" s="3">
        <v>0</v>
      </c>
      <c r="L59" s="3">
        <v>0</v>
      </c>
      <c r="M59" s="10">
        <v>-233.69</v>
      </c>
      <c r="N59" s="10"/>
    </row>
    <row r="60" spans="1:14" ht="20" x14ac:dyDescent="0.35">
      <c r="A60" s="2" t="s">
        <v>206</v>
      </c>
      <c r="B60" s="2">
        <v>233156046</v>
      </c>
      <c r="C60" s="2" t="s">
        <v>12</v>
      </c>
      <c r="D60" s="2" t="s">
        <v>23</v>
      </c>
      <c r="E60" s="2">
        <v>0.49</v>
      </c>
      <c r="F60" s="2">
        <v>56.853000000000002</v>
      </c>
      <c r="G60" s="2">
        <v>57.588999999999999</v>
      </c>
      <c r="H60" s="8"/>
      <c r="I60" s="2" t="s">
        <v>207</v>
      </c>
      <c r="J60" s="2">
        <v>57.597999999999999</v>
      </c>
      <c r="K60" s="2">
        <v>0</v>
      </c>
      <c r="L60" s="2">
        <v>0</v>
      </c>
      <c r="M60" s="11">
        <v>-276.45999999999998</v>
      </c>
      <c r="N60" s="11"/>
    </row>
    <row r="61" spans="1:14" ht="20" x14ac:dyDescent="0.35">
      <c r="A61" s="3" t="s">
        <v>206</v>
      </c>
      <c r="B61" s="3">
        <v>233155998</v>
      </c>
      <c r="C61" s="3" t="s">
        <v>12</v>
      </c>
      <c r="D61" s="3" t="s">
        <v>23</v>
      </c>
      <c r="E61" s="3">
        <v>0.49</v>
      </c>
      <c r="F61" s="3">
        <v>56.853000000000002</v>
      </c>
      <c r="G61" s="3">
        <v>57.588999999999999</v>
      </c>
      <c r="H61" s="9"/>
      <c r="I61" s="3" t="s">
        <v>207</v>
      </c>
      <c r="J61" s="3">
        <v>57.597999999999999</v>
      </c>
      <c r="K61" s="3">
        <v>0</v>
      </c>
      <c r="L61" s="3">
        <v>0</v>
      </c>
      <c r="M61" s="10">
        <v>-276.45999999999998</v>
      </c>
      <c r="N61" s="10"/>
    </row>
    <row r="62" spans="1:14" ht="20" x14ac:dyDescent="0.35">
      <c r="A62" s="2" t="s">
        <v>208</v>
      </c>
      <c r="B62" s="2">
        <v>233336481</v>
      </c>
      <c r="C62" s="2" t="s">
        <v>83</v>
      </c>
      <c r="D62" s="2" t="s">
        <v>23</v>
      </c>
      <c r="E62" s="2">
        <v>0.82</v>
      </c>
      <c r="F62" s="2">
        <v>156.92099999999999</v>
      </c>
      <c r="G62" s="2">
        <v>157.29599999999999</v>
      </c>
      <c r="H62" s="8"/>
      <c r="I62" s="2" t="s">
        <v>209</v>
      </c>
      <c r="J62" s="2">
        <v>157.29599999999999</v>
      </c>
      <c r="K62" s="2">
        <v>0</v>
      </c>
      <c r="L62" s="2">
        <v>0</v>
      </c>
      <c r="M62" s="11">
        <v>-148.43</v>
      </c>
      <c r="N62" s="11"/>
    </row>
    <row r="63" spans="1:14" ht="20" x14ac:dyDescent="0.35">
      <c r="A63" s="3" t="s">
        <v>208</v>
      </c>
      <c r="B63" s="3">
        <v>233336373</v>
      </c>
      <c r="C63" s="3" t="s">
        <v>83</v>
      </c>
      <c r="D63" s="3" t="s">
        <v>23</v>
      </c>
      <c r="E63" s="3">
        <v>0.82</v>
      </c>
      <c r="F63" s="3">
        <v>156.92099999999999</v>
      </c>
      <c r="G63" s="3">
        <v>157.29599999999999</v>
      </c>
      <c r="H63" s="9"/>
      <c r="I63" s="3" t="s">
        <v>209</v>
      </c>
      <c r="J63" s="3">
        <v>157.29599999999999</v>
      </c>
      <c r="K63" s="3">
        <v>0</v>
      </c>
      <c r="L63" s="3">
        <v>0</v>
      </c>
      <c r="M63" s="10">
        <v>-148.43</v>
      </c>
      <c r="N63" s="10"/>
    </row>
    <row r="64" spans="1:14" ht="20" x14ac:dyDescent="0.35">
      <c r="A64" s="2" t="s">
        <v>210</v>
      </c>
      <c r="B64" s="2">
        <v>233678816</v>
      </c>
      <c r="C64" s="2" t="s">
        <v>76</v>
      </c>
      <c r="D64" s="2" t="s">
        <v>23</v>
      </c>
      <c r="E64" s="2">
        <v>0.16</v>
      </c>
      <c r="F64" s="2">
        <v>4449.8</v>
      </c>
      <c r="G64" s="2">
        <v>4474.3999999999996</v>
      </c>
      <c r="H64" s="8"/>
      <c r="I64" s="2" t="s">
        <v>211</v>
      </c>
      <c r="J64" s="2">
        <v>4474.3999999999996</v>
      </c>
      <c r="K64" s="2">
        <v>0</v>
      </c>
      <c r="L64" s="2">
        <v>0</v>
      </c>
      <c r="M64" s="11">
        <v>-291.11</v>
      </c>
      <c r="N64" s="11"/>
    </row>
    <row r="65" spans="1:14" ht="20" x14ac:dyDescent="0.35">
      <c r="A65" s="3" t="s">
        <v>210</v>
      </c>
      <c r="B65" s="3">
        <v>233678861</v>
      </c>
      <c r="C65" s="3" t="s">
        <v>76</v>
      </c>
      <c r="D65" s="3" t="s">
        <v>23</v>
      </c>
      <c r="E65" s="3">
        <v>0.16</v>
      </c>
      <c r="F65" s="3">
        <v>4449.8</v>
      </c>
      <c r="G65" s="3">
        <v>4474.3999999999996</v>
      </c>
      <c r="H65" s="9"/>
      <c r="I65" s="3" t="s">
        <v>211</v>
      </c>
      <c r="J65" s="3">
        <v>4474.3999999999996</v>
      </c>
      <c r="K65" s="3">
        <v>0</v>
      </c>
      <c r="L65" s="3">
        <v>0</v>
      </c>
      <c r="M65" s="10">
        <v>-291.11</v>
      </c>
      <c r="N65" s="10"/>
    </row>
    <row r="66" spans="1:14" ht="20" x14ac:dyDescent="0.35">
      <c r="A66" s="2" t="s">
        <v>212</v>
      </c>
      <c r="B66" s="2">
        <v>233958645</v>
      </c>
      <c r="C66" s="2" t="s">
        <v>12</v>
      </c>
      <c r="D66" s="2" t="s">
        <v>13</v>
      </c>
      <c r="E66" s="2">
        <v>1.0900000000000001</v>
      </c>
      <c r="F66" s="2">
        <v>56.372999999999998</v>
      </c>
      <c r="G66" s="2">
        <v>56.372999999999998</v>
      </c>
      <c r="H66" s="8"/>
      <c r="I66" s="2" t="s">
        <v>213</v>
      </c>
      <c r="J66" s="2">
        <v>56.372999999999998</v>
      </c>
      <c r="K66" s="2">
        <v>0</v>
      </c>
      <c r="L66" s="2">
        <v>0</v>
      </c>
      <c r="M66" s="11">
        <v>0</v>
      </c>
      <c r="N66" s="11"/>
    </row>
    <row r="67" spans="1:14" ht="20" x14ac:dyDescent="0.35">
      <c r="A67" s="3" t="s">
        <v>212</v>
      </c>
      <c r="B67" s="3">
        <v>233958687</v>
      </c>
      <c r="C67" s="3" t="s">
        <v>12</v>
      </c>
      <c r="D67" s="3" t="s">
        <v>13</v>
      </c>
      <c r="E67" s="3">
        <v>1.0900000000000001</v>
      </c>
      <c r="F67" s="3">
        <v>56.372999999999998</v>
      </c>
      <c r="G67" s="3">
        <v>56.372999999999998</v>
      </c>
      <c r="H67" s="9"/>
      <c r="I67" s="3" t="s">
        <v>213</v>
      </c>
      <c r="J67" s="3">
        <v>56.372999999999998</v>
      </c>
      <c r="K67" s="3">
        <v>0</v>
      </c>
      <c r="L67" s="3">
        <v>0</v>
      </c>
      <c r="M67" s="10">
        <v>0</v>
      </c>
      <c r="N67" s="10"/>
    </row>
    <row r="68" spans="1:14" ht="20" x14ac:dyDescent="0.35">
      <c r="A68" s="2" t="s">
        <v>214</v>
      </c>
      <c r="B68" s="2">
        <v>234236510</v>
      </c>
      <c r="C68" s="2" t="s">
        <v>12</v>
      </c>
      <c r="D68" s="2" t="s">
        <v>13</v>
      </c>
      <c r="E68" s="2">
        <v>0.75</v>
      </c>
      <c r="F68" s="2">
        <v>56.253</v>
      </c>
      <c r="G68" s="2">
        <v>60.148000000000003</v>
      </c>
      <c r="H68" s="8"/>
      <c r="I68" s="2" t="s">
        <v>215</v>
      </c>
      <c r="J68" s="2">
        <v>60.148000000000003</v>
      </c>
      <c r="K68" s="2">
        <v>0</v>
      </c>
      <c r="L68" s="2">
        <v>0</v>
      </c>
      <c r="M68" s="11" t="s">
        <v>216</v>
      </c>
      <c r="N68" s="11"/>
    </row>
    <row r="69" spans="1:14" ht="20" x14ac:dyDescent="0.35">
      <c r="A69" s="3" t="s">
        <v>214</v>
      </c>
      <c r="B69" s="3">
        <v>234236467</v>
      </c>
      <c r="C69" s="3" t="s">
        <v>12</v>
      </c>
      <c r="D69" s="3" t="s">
        <v>13</v>
      </c>
      <c r="E69" s="3">
        <v>0.76</v>
      </c>
      <c r="F69" s="3">
        <v>56.253</v>
      </c>
      <c r="G69" s="3">
        <v>58.813000000000002</v>
      </c>
      <c r="H69" s="9"/>
      <c r="I69" s="3" t="s">
        <v>217</v>
      </c>
      <c r="J69" s="3">
        <v>58.813000000000002</v>
      </c>
      <c r="K69" s="3">
        <v>0</v>
      </c>
      <c r="L69" s="3">
        <v>0</v>
      </c>
      <c r="M69" s="10" t="s">
        <v>218</v>
      </c>
      <c r="N69" s="10"/>
    </row>
    <row r="70" spans="1:14" ht="20" x14ac:dyDescent="0.35">
      <c r="A70" s="2" t="s">
        <v>219</v>
      </c>
      <c r="B70" s="2">
        <v>234245549</v>
      </c>
      <c r="C70" s="2" t="s">
        <v>42</v>
      </c>
      <c r="D70" s="2" t="s">
        <v>13</v>
      </c>
      <c r="E70" s="2">
        <v>1.47</v>
      </c>
      <c r="F70" s="2">
        <v>6916.72</v>
      </c>
      <c r="G70" s="2">
        <v>6915.32</v>
      </c>
      <c r="H70" s="8"/>
      <c r="I70" s="2" t="s">
        <v>220</v>
      </c>
      <c r="J70" s="2">
        <v>6915.35</v>
      </c>
      <c r="K70" s="2">
        <v>0</v>
      </c>
      <c r="L70" s="2">
        <v>0</v>
      </c>
      <c r="M70" s="11">
        <v>-15.01</v>
      </c>
      <c r="N70" s="11"/>
    </row>
    <row r="71" spans="1:14" ht="20" x14ac:dyDescent="0.35">
      <c r="A71" s="3" t="s">
        <v>219</v>
      </c>
      <c r="B71" s="3">
        <v>234245607</v>
      </c>
      <c r="C71" s="3" t="s">
        <v>42</v>
      </c>
      <c r="D71" s="3" t="s">
        <v>13</v>
      </c>
      <c r="E71" s="3">
        <v>1.47</v>
      </c>
      <c r="F71" s="3">
        <v>6916.72</v>
      </c>
      <c r="G71" s="3">
        <v>6915.34</v>
      </c>
      <c r="H71" s="9"/>
      <c r="I71" s="3" t="s">
        <v>220</v>
      </c>
      <c r="J71" s="3">
        <v>6915.34</v>
      </c>
      <c r="K71" s="3">
        <v>0</v>
      </c>
      <c r="L71" s="3">
        <v>0</v>
      </c>
      <c r="M71" s="10">
        <v>-15.12</v>
      </c>
      <c r="N71" s="10"/>
    </row>
    <row r="72" spans="1:14" ht="20" x14ac:dyDescent="0.35">
      <c r="A72" s="2" t="s">
        <v>221</v>
      </c>
      <c r="B72" s="2">
        <v>234996255</v>
      </c>
      <c r="C72" s="2" t="s">
        <v>46</v>
      </c>
      <c r="D72" s="2" t="s">
        <v>13</v>
      </c>
      <c r="E72" s="2">
        <v>2.58</v>
      </c>
      <c r="F72" s="2">
        <v>1.1673500000000001</v>
      </c>
      <c r="G72" s="2">
        <v>1.16527</v>
      </c>
      <c r="H72" s="8"/>
      <c r="I72" s="2" t="s">
        <v>222</v>
      </c>
      <c r="J72" s="2">
        <v>1.16527</v>
      </c>
      <c r="K72" s="2">
        <v>0</v>
      </c>
      <c r="L72" s="2">
        <v>0</v>
      </c>
      <c r="M72" s="11">
        <v>-406.74</v>
      </c>
      <c r="N72" s="11"/>
    </row>
    <row r="73" spans="1:14" ht="20" x14ac:dyDescent="0.35">
      <c r="A73" s="3" t="s">
        <v>221</v>
      </c>
      <c r="B73" s="3">
        <v>234996211</v>
      </c>
      <c r="C73" s="3" t="s">
        <v>46</v>
      </c>
      <c r="D73" s="3" t="s">
        <v>13</v>
      </c>
      <c r="E73" s="3">
        <v>2.58</v>
      </c>
      <c r="F73" s="3">
        <v>1.1673500000000001</v>
      </c>
      <c r="G73" s="3">
        <v>1.16527</v>
      </c>
      <c r="H73" s="9"/>
      <c r="I73" s="3" t="s">
        <v>222</v>
      </c>
      <c r="J73" s="3">
        <v>1.16527</v>
      </c>
      <c r="K73" s="3">
        <v>0</v>
      </c>
      <c r="L73" s="3">
        <v>0</v>
      </c>
      <c r="M73" s="10">
        <v>-406.74</v>
      </c>
      <c r="N73" s="10"/>
    </row>
    <row r="74" spans="1:14" ht="20" x14ac:dyDescent="0.35">
      <c r="A74" s="2" t="s">
        <v>223</v>
      </c>
      <c r="B74" s="2">
        <v>235298668</v>
      </c>
      <c r="C74" s="2" t="s">
        <v>46</v>
      </c>
      <c r="D74" s="2" t="s">
        <v>13</v>
      </c>
      <c r="E74" s="2">
        <v>2.58</v>
      </c>
      <c r="F74" s="2">
        <v>1.16543</v>
      </c>
      <c r="G74" s="2">
        <v>1.1633100000000001</v>
      </c>
      <c r="H74" s="8"/>
      <c r="I74" s="2" t="s">
        <v>224</v>
      </c>
      <c r="J74" s="2">
        <v>1.1633100000000001</v>
      </c>
      <c r="K74" s="2">
        <v>0</v>
      </c>
      <c r="L74" s="2">
        <v>0</v>
      </c>
      <c r="M74" s="11">
        <v>-415.48</v>
      </c>
      <c r="N74" s="11"/>
    </row>
    <row r="75" spans="1:14" ht="20" x14ac:dyDescent="0.35">
      <c r="A75" s="3" t="s">
        <v>223</v>
      </c>
      <c r="B75" s="3">
        <v>235298622</v>
      </c>
      <c r="C75" s="3" t="s">
        <v>46</v>
      </c>
      <c r="D75" s="3" t="s">
        <v>13</v>
      </c>
      <c r="E75" s="3">
        <v>2.57</v>
      </c>
      <c r="F75" s="3">
        <v>1.16543</v>
      </c>
      <c r="G75" s="3">
        <v>1.1633100000000001</v>
      </c>
      <c r="H75" s="9"/>
      <c r="I75" s="3" t="s">
        <v>224</v>
      </c>
      <c r="J75" s="3">
        <v>1.1633100000000001</v>
      </c>
      <c r="K75" s="3">
        <v>0</v>
      </c>
      <c r="L75" s="3">
        <v>0</v>
      </c>
      <c r="M75" s="10">
        <v>-413.87</v>
      </c>
      <c r="N75" s="10"/>
    </row>
    <row r="76" spans="1:14" ht="20" x14ac:dyDescent="0.35">
      <c r="A76" s="2" t="s">
        <v>225</v>
      </c>
      <c r="B76" s="2">
        <v>235816997</v>
      </c>
      <c r="C76" s="2" t="s">
        <v>46</v>
      </c>
      <c r="D76" s="2" t="s">
        <v>13</v>
      </c>
      <c r="E76" s="2">
        <v>1.93</v>
      </c>
      <c r="F76" s="2">
        <v>1.16412</v>
      </c>
      <c r="G76" s="2">
        <v>1.16178</v>
      </c>
      <c r="H76" s="8"/>
      <c r="I76" s="2" t="s">
        <v>226</v>
      </c>
      <c r="J76" s="2">
        <v>1.16178</v>
      </c>
      <c r="K76" s="2">
        <v>0</v>
      </c>
      <c r="L76" s="2">
        <v>0</v>
      </c>
      <c r="M76" s="11">
        <v>-343.86</v>
      </c>
      <c r="N76" s="11"/>
    </row>
    <row r="77" spans="1:14" ht="20" x14ac:dyDescent="0.35">
      <c r="A77" s="3" t="s">
        <v>225</v>
      </c>
      <c r="B77" s="3">
        <v>235817160</v>
      </c>
      <c r="C77" s="3" t="s">
        <v>46</v>
      </c>
      <c r="D77" s="3" t="s">
        <v>13</v>
      </c>
      <c r="E77" s="3">
        <v>1.93</v>
      </c>
      <c r="F77" s="3">
        <v>1.16412</v>
      </c>
      <c r="G77" s="3">
        <v>1.16178</v>
      </c>
      <c r="H77" s="9"/>
      <c r="I77" s="3" t="s">
        <v>226</v>
      </c>
      <c r="J77" s="3">
        <v>1.16178</v>
      </c>
      <c r="K77" s="3">
        <v>0</v>
      </c>
      <c r="L77" s="3">
        <v>0</v>
      </c>
      <c r="M77" s="10">
        <v>-343.86</v>
      </c>
      <c r="N77" s="10"/>
    </row>
    <row r="78" spans="1:14" ht="20" x14ac:dyDescent="0.35">
      <c r="A78" s="2" t="s">
        <v>227</v>
      </c>
      <c r="B78" s="2">
        <v>235853675</v>
      </c>
      <c r="C78" s="2" t="s">
        <v>76</v>
      </c>
      <c r="D78" s="2" t="s">
        <v>23</v>
      </c>
      <c r="E78" s="2">
        <v>0.09</v>
      </c>
      <c r="F78" s="2">
        <v>4597.71</v>
      </c>
      <c r="G78" s="2">
        <v>4623.0200000000004</v>
      </c>
      <c r="H78" s="8"/>
      <c r="I78" s="2" t="s">
        <v>228</v>
      </c>
      <c r="J78" s="2">
        <v>4623.1000000000004</v>
      </c>
      <c r="K78" s="2">
        <v>0</v>
      </c>
      <c r="L78" s="2">
        <v>0</v>
      </c>
      <c r="M78" s="11">
        <v>-170.72</v>
      </c>
      <c r="N78" s="11"/>
    </row>
    <row r="79" spans="1:14" ht="20" x14ac:dyDescent="0.35">
      <c r="A79" s="3" t="s">
        <v>227</v>
      </c>
      <c r="B79" s="3">
        <v>235853620</v>
      </c>
      <c r="C79" s="3" t="s">
        <v>76</v>
      </c>
      <c r="D79" s="3" t="s">
        <v>23</v>
      </c>
      <c r="E79" s="3">
        <v>0.09</v>
      </c>
      <c r="F79" s="3">
        <v>4597.71</v>
      </c>
      <c r="G79" s="3">
        <v>4623.09</v>
      </c>
      <c r="H79" s="9"/>
      <c r="I79" s="3" t="s">
        <v>228</v>
      </c>
      <c r="J79" s="3">
        <v>4623.09</v>
      </c>
      <c r="K79" s="3">
        <v>0</v>
      </c>
      <c r="L79" s="3">
        <v>0</v>
      </c>
      <c r="M79" s="10">
        <v>-170.65</v>
      </c>
      <c r="N79" s="10"/>
    </row>
    <row r="80" spans="1:14" ht="20" x14ac:dyDescent="0.35">
      <c r="A80" s="2" t="s">
        <v>229</v>
      </c>
      <c r="B80" s="2">
        <v>237137145</v>
      </c>
      <c r="C80" s="2" t="s">
        <v>12</v>
      </c>
      <c r="D80" s="2" t="s">
        <v>23</v>
      </c>
      <c r="E80" s="2">
        <v>0.32</v>
      </c>
      <c r="F80" s="2">
        <v>59.262999999999998</v>
      </c>
      <c r="G80" s="2">
        <v>60.445</v>
      </c>
      <c r="H80" s="8"/>
      <c r="I80" s="2" t="s">
        <v>230</v>
      </c>
      <c r="J80" s="2">
        <v>60.508000000000003</v>
      </c>
      <c r="K80" s="2">
        <v>0</v>
      </c>
      <c r="L80" s="2">
        <v>0</v>
      </c>
      <c r="M80" s="11">
        <v>-302.93</v>
      </c>
      <c r="N80" s="11"/>
    </row>
    <row r="81" spans="1:14" ht="20" x14ac:dyDescent="0.35">
      <c r="A81" s="3" t="s">
        <v>229</v>
      </c>
      <c r="B81" s="3">
        <v>237137082</v>
      </c>
      <c r="C81" s="3" t="s">
        <v>12</v>
      </c>
      <c r="D81" s="3" t="s">
        <v>23</v>
      </c>
      <c r="E81" s="3">
        <v>0.32</v>
      </c>
      <c r="F81" s="3">
        <v>59.262999999999998</v>
      </c>
      <c r="G81" s="3">
        <v>60.445</v>
      </c>
      <c r="H81" s="9"/>
      <c r="I81" s="3" t="s">
        <v>230</v>
      </c>
      <c r="J81" s="3">
        <v>60.508000000000003</v>
      </c>
      <c r="K81" s="3">
        <v>0</v>
      </c>
      <c r="L81" s="3">
        <v>0</v>
      </c>
      <c r="M81" s="10">
        <v>-302.93</v>
      </c>
      <c r="N81" s="10"/>
    </row>
    <row r="82" spans="1:14" ht="20" x14ac:dyDescent="0.35">
      <c r="A82" s="2" t="s">
        <v>231</v>
      </c>
      <c r="B82" s="2">
        <v>237158938</v>
      </c>
      <c r="C82" s="2" t="s">
        <v>46</v>
      </c>
      <c r="D82" s="2" t="s">
        <v>13</v>
      </c>
      <c r="E82" s="2">
        <v>1.86</v>
      </c>
      <c r="F82" s="2">
        <v>1.1725099999999999</v>
      </c>
      <c r="G82" s="2">
        <v>1.1704399999999999</v>
      </c>
      <c r="H82" s="8"/>
      <c r="I82" s="2" t="s">
        <v>232</v>
      </c>
      <c r="J82" s="2">
        <v>1.1704399999999999</v>
      </c>
      <c r="K82" s="2">
        <v>0</v>
      </c>
      <c r="L82" s="2">
        <v>0</v>
      </c>
      <c r="M82" s="11">
        <v>-292.39</v>
      </c>
      <c r="N82" s="11"/>
    </row>
    <row r="83" spans="1:14" ht="20" x14ac:dyDescent="0.35">
      <c r="A83" s="3" t="s">
        <v>231</v>
      </c>
      <c r="B83" s="3">
        <v>237158872</v>
      </c>
      <c r="C83" s="3" t="s">
        <v>46</v>
      </c>
      <c r="D83" s="3" t="s">
        <v>13</v>
      </c>
      <c r="E83" s="3">
        <v>1.86</v>
      </c>
      <c r="F83" s="3">
        <v>1.1725099999999999</v>
      </c>
      <c r="G83" s="3">
        <v>1.1704399999999999</v>
      </c>
      <c r="H83" s="9"/>
      <c r="I83" s="3" t="s">
        <v>232</v>
      </c>
      <c r="J83" s="3">
        <v>1.1704399999999999</v>
      </c>
      <c r="K83" s="3">
        <v>0</v>
      </c>
      <c r="L83" s="3">
        <v>0</v>
      </c>
      <c r="M83" s="10">
        <v>-292.39</v>
      </c>
      <c r="N83" s="10"/>
    </row>
    <row r="84" spans="1:14" ht="20" x14ac:dyDescent="0.35">
      <c r="A84" s="2" t="s">
        <v>233</v>
      </c>
      <c r="B84" s="2">
        <v>237845983</v>
      </c>
      <c r="C84" s="2" t="s">
        <v>46</v>
      </c>
      <c r="D84" s="2" t="s">
        <v>13</v>
      </c>
      <c r="E84" s="2">
        <v>1.66</v>
      </c>
      <c r="F84" s="2">
        <v>1.1746099999999999</v>
      </c>
      <c r="G84" s="2">
        <v>1.1824399999999999</v>
      </c>
      <c r="H84" s="8"/>
      <c r="I84" s="2" t="s">
        <v>234</v>
      </c>
      <c r="J84" s="2">
        <v>1.1824399999999999</v>
      </c>
      <c r="K84" s="2">
        <v>0</v>
      </c>
      <c r="L84" s="2">
        <v>0</v>
      </c>
      <c r="M84" s="11">
        <v>934.16</v>
      </c>
      <c r="N84" s="11"/>
    </row>
    <row r="85" spans="1:14" ht="20" x14ac:dyDescent="0.35">
      <c r="A85" s="3" t="s">
        <v>233</v>
      </c>
      <c r="B85" s="3">
        <v>237846079</v>
      </c>
      <c r="C85" s="3" t="s">
        <v>46</v>
      </c>
      <c r="D85" s="3" t="s">
        <v>13</v>
      </c>
      <c r="E85" s="3">
        <v>1.66</v>
      </c>
      <c r="F85" s="3">
        <v>1.1746099999999999</v>
      </c>
      <c r="G85" s="3">
        <v>1.1843999999999999</v>
      </c>
      <c r="H85" s="9"/>
      <c r="I85" s="3" t="s">
        <v>235</v>
      </c>
      <c r="J85" s="3">
        <v>1.1843999999999999</v>
      </c>
      <c r="K85" s="3">
        <v>0</v>
      </c>
      <c r="L85" s="3">
        <v>0</v>
      </c>
      <c r="M85" s="10" t="s">
        <v>236</v>
      </c>
      <c r="N85" s="10"/>
    </row>
    <row r="86" spans="1:14" ht="20" x14ac:dyDescent="0.35">
      <c r="A86" s="2" t="s">
        <v>237</v>
      </c>
      <c r="B86" s="2">
        <v>238754138</v>
      </c>
      <c r="C86" s="2" t="s">
        <v>36</v>
      </c>
      <c r="D86" s="2" t="s">
        <v>23</v>
      </c>
      <c r="E86" s="2">
        <v>7.0000000000000007E-2</v>
      </c>
      <c r="F86" s="2">
        <v>107.117</v>
      </c>
      <c r="G86" s="2">
        <v>113.565</v>
      </c>
      <c r="H86" s="8"/>
      <c r="I86" s="2" t="s">
        <v>238</v>
      </c>
      <c r="J86" s="2">
        <v>113.577</v>
      </c>
      <c r="K86" s="2">
        <v>0</v>
      </c>
      <c r="L86" s="2">
        <v>0.24</v>
      </c>
      <c r="M86" s="11">
        <v>-333.81</v>
      </c>
      <c r="N86" s="11"/>
    </row>
    <row r="87" spans="1:14" ht="20" x14ac:dyDescent="0.35">
      <c r="A87" s="3" t="s">
        <v>237</v>
      </c>
      <c r="B87" s="3">
        <v>238754075</v>
      </c>
      <c r="C87" s="3" t="s">
        <v>36</v>
      </c>
      <c r="D87" s="3" t="s">
        <v>23</v>
      </c>
      <c r="E87" s="3">
        <v>7.0000000000000007E-2</v>
      </c>
      <c r="F87" s="3">
        <v>107.117</v>
      </c>
      <c r="G87" s="3">
        <v>113.565</v>
      </c>
      <c r="H87" s="9"/>
      <c r="I87" s="3" t="s">
        <v>238</v>
      </c>
      <c r="J87" s="3">
        <v>113.577</v>
      </c>
      <c r="K87" s="3">
        <v>0</v>
      </c>
      <c r="L87" s="3">
        <v>0.24</v>
      </c>
      <c r="M87" s="10">
        <v>-333.81</v>
      </c>
      <c r="N87" s="10"/>
    </row>
    <row r="88" spans="1:14" ht="20" x14ac:dyDescent="0.35">
      <c r="A88" s="2" t="s">
        <v>239</v>
      </c>
      <c r="B88" s="2">
        <v>239257835</v>
      </c>
      <c r="C88" s="2" t="s">
        <v>36</v>
      </c>
      <c r="D88" s="2" t="s">
        <v>23</v>
      </c>
      <c r="E88" s="2">
        <v>0.05</v>
      </c>
      <c r="F88" s="2">
        <v>110.578</v>
      </c>
      <c r="G88" s="2">
        <v>117.73</v>
      </c>
      <c r="H88" s="8"/>
      <c r="I88" s="2" t="s">
        <v>240</v>
      </c>
      <c r="J88" s="2">
        <v>117.738</v>
      </c>
      <c r="K88" s="2">
        <v>0</v>
      </c>
      <c r="L88" s="2">
        <v>1.1100000000000001</v>
      </c>
      <c r="M88" s="11">
        <v>-264.44</v>
      </c>
      <c r="N88" s="11"/>
    </row>
    <row r="89" spans="1:14" ht="20" x14ac:dyDescent="0.35">
      <c r="A89" s="3" t="s">
        <v>239</v>
      </c>
      <c r="B89" s="3">
        <v>239257762</v>
      </c>
      <c r="C89" s="3" t="s">
        <v>36</v>
      </c>
      <c r="D89" s="3" t="s">
        <v>23</v>
      </c>
      <c r="E89" s="3">
        <v>0.05</v>
      </c>
      <c r="F89" s="3">
        <v>110.578</v>
      </c>
      <c r="G89" s="3">
        <v>117.73</v>
      </c>
      <c r="H89" s="9"/>
      <c r="I89" s="3" t="s">
        <v>240</v>
      </c>
      <c r="J89" s="3">
        <v>117.738</v>
      </c>
      <c r="K89" s="3">
        <v>0</v>
      </c>
      <c r="L89" s="3">
        <v>1.1100000000000001</v>
      </c>
      <c r="M89" s="10">
        <v>-264.44</v>
      </c>
      <c r="N89" s="10"/>
    </row>
    <row r="90" spans="1:14" ht="20" x14ac:dyDescent="0.35">
      <c r="A90" s="2" t="s">
        <v>241</v>
      </c>
      <c r="B90" s="2">
        <v>240075552</v>
      </c>
      <c r="C90" s="2" t="s">
        <v>46</v>
      </c>
      <c r="D90" s="2" t="s">
        <v>23</v>
      </c>
      <c r="E90" s="2">
        <v>0.91</v>
      </c>
      <c r="F90" s="2">
        <v>1.19526</v>
      </c>
      <c r="G90" s="2">
        <v>1.19526</v>
      </c>
      <c r="H90" s="8"/>
      <c r="I90" s="2" t="s">
        <v>242</v>
      </c>
      <c r="J90" s="2">
        <v>1.19526</v>
      </c>
      <c r="K90" s="2">
        <v>0</v>
      </c>
      <c r="L90" s="2">
        <v>0</v>
      </c>
      <c r="M90" s="11">
        <v>0</v>
      </c>
      <c r="N90" s="11"/>
    </row>
    <row r="91" spans="1:14" ht="20" x14ac:dyDescent="0.35">
      <c r="A91" s="3" t="s">
        <v>241</v>
      </c>
      <c r="B91" s="3">
        <v>240075606</v>
      </c>
      <c r="C91" s="3" t="s">
        <v>46</v>
      </c>
      <c r="D91" s="3" t="s">
        <v>23</v>
      </c>
      <c r="E91" s="3">
        <v>0.91</v>
      </c>
      <c r="F91" s="3">
        <v>1.19526</v>
      </c>
      <c r="G91" s="3">
        <v>1.19526</v>
      </c>
      <c r="H91" s="9"/>
      <c r="I91" s="3" t="s">
        <v>242</v>
      </c>
      <c r="J91" s="3">
        <v>1.19526</v>
      </c>
      <c r="K91" s="3">
        <v>0</v>
      </c>
      <c r="L91" s="3">
        <v>0</v>
      </c>
      <c r="M91" s="10">
        <v>0</v>
      </c>
      <c r="N91" s="10"/>
    </row>
    <row r="92" spans="1:14" ht="20" x14ac:dyDescent="0.35">
      <c r="A92" s="2" t="s">
        <v>243</v>
      </c>
      <c r="B92" s="2">
        <v>240595419</v>
      </c>
      <c r="C92" s="2" t="s">
        <v>42</v>
      </c>
      <c r="D92" s="2" t="s">
        <v>13</v>
      </c>
      <c r="E92" s="2">
        <v>1.66</v>
      </c>
      <c r="F92" s="2">
        <v>6919.12</v>
      </c>
      <c r="G92" s="2">
        <v>6919.12</v>
      </c>
      <c r="H92" s="8"/>
      <c r="I92" s="2" t="s">
        <v>244</v>
      </c>
      <c r="J92" s="2">
        <v>6918.35</v>
      </c>
      <c r="K92" s="2">
        <v>0</v>
      </c>
      <c r="L92" s="2">
        <v>0</v>
      </c>
      <c r="M92" s="11">
        <v>-9.3000000000000007</v>
      </c>
      <c r="N92" s="11"/>
    </row>
    <row r="93" spans="1:14" ht="20" x14ac:dyDescent="0.35">
      <c r="A93" s="3" t="s">
        <v>243</v>
      </c>
      <c r="B93" s="3">
        <v>240595514</v>
      </c>
      <c r="C93" s="3" t="s">
        <v>42</v>
      </c>
      <c r="D93" s="3" t="s">
        <v>13</v>
      </c>
      <c r="E93" s="3">
        <v>1.66</v>
      </c>
      <c r="F93" s="3">
        <v>6919.15</v>
      </c>
      <c r="G93" s="3">
        <v>6919.15</v>
      </c>
      <c r="H93" s="9"/>
      <c r="I93" s="3" t="s">
        <v>244</v>
      </c>
      <c r="J93" s="3">
        <v>6918.52</v>
      </c>
      <c r="K93" s="3">
        <v>0</v>
      </c>
      <c r="L93" s="3">
        <v>0</v>
      </c>
      <c r="M93" s="10">
        <v>-7.61</v>
      </c>
      <c r="N93" s="10"/>
    </row>
    <row r="94" spans="1:14" ht="20" x14ac:dyDescent="0.35">
      <c r="A94" s="2" t="s">
        <v>245</v>
      </c>
      <c r="B94" s="2">
        <v>240710011</v>
      </c>
      <c r="C94" s="2" t="s">
        <v>42</v>
      </c>
      <c r="D94" s="2" t="s">
        <v>13</v>
      </c>
      <c r="E94" s="2">
        <v>1.35</v>
      </c>
      <c r="F94" s="2">
        <v>6944.63</v>
      </c>
      <c r="G94" s="2">
        <v>6917.49</v>
      </c>
      <c r="H94" s="8"/>
      <c r="I94" s="2" t="s">
        <v>246</v>
      </c>
      <c r="J94" s="2">
        <v>6918.18</v>
      </c>
      <c r="K94" s="2">
        <v>0</v>
      </c>
      <c r="L94" s="2">
        <v>0</v>
      </c>
      <c r="M94" s="11">
        <v>-260.20999999999998</v>
      </c>
      <c r="N94" s="11"/>
    </row>
    <row r="95" spans="1:14" ht="20" x14ac:dyDescent="0.35">
      <c r="A95" s="3" t="s">
        <v>245</v>
      </c>
      <c r="B95" s="3">
        <v>240709869</v>
      </c>
      <c r="C95" s="3" t="s">
        <v>42</v>
      </c>
      <c r="D95" s="3" t="s">
        <v>13</v>
      </c>
      <c r="E95" s="3">
        <v>1.35</v>
      </c>
      <c r="F95" s="3">
        <v>6944.63</v>
      </c>
      <c r="G95" s="3">
        <v>6917.49</v>
      </c>
      <c r="H95" s="9"/>
      <c r="I95" s="3" t="s">
        <v>246</v>
      </c>
      <c r="J95" s="3">
        <v>6918.08</v>
      </c>
      <c r="K95" s="3">
        <v>0</v>
      </c>
      <c r="L95" s="3">
        <v>0</v>
      </c>
      <c r="M95" s="10">
        <v>-261.19</v>
      </c>
      <c r="N95" s="10"/>
    </row>
    <row r="96" spans="1:14" ht="20" x14ac:dyDescent="0.35">
      <c r="A96" s="2" t="s">
        <v>247</v>
      </c>
      <c r="B96" s="2">
        <v>241368738</v>
      </c>
      <c r="C96" s="2" t="s">
        <v>46</v>
      </c>
      <c r="D96" s="2" t="s">
        <v>13</v>
      </c>
      <c r="E96" s="2">
        <v>0.62</v>
      </c>
      <c r="F96" s="2">
        <v>1.1823999999999999</v>
      </c>
      <c r="G96" s="2">
        <v>1.1808000000000001</v>
      </c>
      <c r="H96" s="8"/>
      <c r="I96" s="2" t="s">
        <v>248</v>
      </c>
      <c r="J96" s="2">
        <v>1.1808000000000001</v>
      </c>
      <c r="K96" s="2">
        <v>0</v>
      </c>
      <c r="L96" s="2">
        <v>0</v>
      </c>
      <c r="M96" s="11">
        <v>-73.86</v>
      </c>
      <c r="N96" s="11"/>
    </row>
    <row r="97" spans="1:14" ht="20" x14ac:dyDescent="0.35">
      <c r="A97" s="3" t="s">
        <v>247</v>
      </c>
      <c r="B97" s="3">
        <v>241368666</v>
      </c>
      <c r="C97" s="3" t="s">
        <v>46</v>
      </c>
      <c r="D97" s="3" t="s">
        <v>13</v>
      </c>
      <c r="E97" s="3">
        <v>0.62</v>
      </c>
      <c r="F97" s="3">
        <v>1.1823999999999999</v>
      </c>
      <c r="G97" s="3">
        <v>1.1808000000000001</v>
      </c>
      <c r="H97" s="9"/>
      <c r="I97" s="3" t="s">
        <v>248</v>
      </c>
      <c r="J97" s="3">
        <v>1.1808000000000001</v>
      </c>
      <c r="K97" s="3">
        <v>0</v>
      </c>
      <c r="L97" s="3">
        <v>0</v>
      </c>
      <c r="M97" s="10">
        <v>-73.86</v>
      </c>
      <c r="N97" s="10"/>
    </row>
    <row r="98" spans="1:14" ht="20" x14ac:dyDescent="0.35">
      <c r="A98" s="2" t="s">
        <v>249</v>
      </c>
      <c r="B98" s="2">
        <v>241746907</v>
      </c>
      <c r="C98" s="2" t="s">
        <v>42</v>
      </c>
      <c r="D98" s="2" t="s">
        <v>23</v>
      </c>
      <c r="E98" s="2">
        <v>0.57999999999999996</v>
      </c>
      <c r="F98" s="2">
        <v>6903.67</v>
      </c>
      <c r="G98" s="2">
        <v>6903.67</v>
      </c>
      <c r="H98" s="8"/>
      <c r="I98" s="2" t="s">
        <v>250</v>
      </c>
      <c r="J98" s="2">
        <v>6904.07</v>
      </c>
      <c r="K98" s="2">
        <v>0</v>
      </c>
      <c r="L98" s="2">
        <v>0</v>
      </c>
      <c r="M98" s="11">
        <v>-1.7</v>
      </c>
      <c r="N98" s="11"/>
    </row>
    <row r="99" spans="1:14" ht="20" x14ac:dyDescent="0.35">
      <c r="A99" s="3" t="s">
        <v>249</v>
      </c>
      <c r="B99" s="3">
        <v>241746971</v>
      </c>
      <c r="C99" s="3" t="s">
        <v>42</v>
      </c>
      <c r="D99" s="3" t="s">
        <v>23</v>
      </c>
      <c r="E99" s="3">
        <v>0.57999999999999996</v>
      </c>
      <c r="F99" s="3">
        <v>6903.61</v>
      </c>
      <c r="G99" s="3">
        <v>6903.61</v>
      </c>
      <c r="H99" s="9"/>
      <c r="I99" s="3" t="s">
        <v>250</v>
      </c>
      <c r="J99" s="3">
        <v>6904.07</v>
      </c>
      <c r="K99" s="3">
        <v>0</v>
      </c>
      <c r="L99" s="3">
        <v>0</v>
      </c>
      <c r="M99" s="10">
        <v>-1.96</v>
      </c>
      <c r="N99" s="10"/>
    </row>
    <row r="100" spans="1:14" ht="20" x14ac:dyDescent="0.35">
      <c r="A100" s="2" t="s">
        <v>251</v>
      </c>
      <c r="B100" s="2">
        <v>241736676</v>
      </c>
      <c r="C100" s="2" t="s">
        <v>76</v>
      </c>
      <c r="D100" s="2" t="s">
        <v>23</v>
      </c>
      <c r="E100" s="2">
        <v>0.01</v>
      </c>
      <c r="F100" s="2">
        <v>4881.1000000000004</v>
      </c>
      <c r="G100" s="2">
        <v>4907.29</v>
      </c>
      <c r="H100" s="8"/>
      <c r="I100" s="2" t="s">
        <v>252</v>
      </c>
      <c r="J100" s="2">
        <v>4911.3</v>
      </c>
      <c r="K100" s="2">
        <v>0</v>
      </c>
      <c r="L100" s="2">
        <v>0</v>
      </c>
      <c r="M100" s="11">
        <v>-22.23</v>
      </c>
      <c r="N100" s="11"/>
    </row>
    <row r="101" spans="1:14" ht="20" x14ac:dyDescent="0.35">
      <c r="A101" s="3" t="s">
        <v>251</v>
      </c>
      <c r="B101" s="3">
        <v>241736738</v>
      </c>
      <c r="C101" s="3" t="s">
        <v>76</v>
      </c>
      <c r="D101" s="3" t="s">
        <v>23</v>
      </c>
      <c r="E101" s="3">
        <v>0.01</v>
      </c>
      <c r="F101" s="3">
        <v>4881.1000000000004</v>
      </c>
      <c r="G101" s="3">
        <v>4906.8100000000004</v>
      </c>
      <c r="H101" s="9"/>
      <c r="I101" s="3" t="s">
        <v>253</v>
      </c>
      <c r="J101" s="3">
        <v>4906.6400000000003</v>
      </c>
      <c r="K101" s="3">
        <v>0</v>
      </c>
      <c r="L101" s="3">
        <v>0</v>
      </c>
      <c r="M101" s="10">
        <v>-18.8</v>
      </c>
      <c r="N101" s="10"/>
    </row>
    <row r="102" spans="1:14" ht="20" x14ac:dyDescent="0.35">
      <c r="A102" s="2" t="s">
        <v>254</v>
      </c>
      <c r="B102" s="2">
        <v>242759211</v>
      </c>
      <c r="C102" s="2" t="s">
        <v>83</v>
      </c>
      <c r="D102" s="2" t="s">
        <v>23</v>
      </c>
      <c r="E102" s="2">
        <v>0.54</v>
      </c>
      <c r="F102" s="2">
        <v>156.465</v>
      </c>
      <c r="G102" s="2">
        <v>154.57300000000001</v>
      </c>
      <c r="H102" s="8"/>
      <c r="I102" s="2" t="s">
        <v>255</v>
      </c>
      <c r="J102" s="2">
        <v>154.57300000000001</v>
      </c>
      <c r="K102" s="2">
        <v>0</v>
      </c>
      <c r="L102" s="2">
        <v>0</v>
      </c>
      <c r="M102" s="11">
        <v>475.68</v>
      </c>
      <c r="N102" s="11"/>
    </row>
    <row r="103" spans="1:14" ht="20" x14ac:dyDescent="0.35">
      <c r="A103" s="3" t="s">
        <v>254</v>
      </c>
      <c r="B103" s="3">
        <v>242759292</v>
      </c>
      <c r="C103" s="3" t="s">
        <v>83</v>
      </c>
      <c r="D103" s="3" t="s">
        <v>23</v>
      </c>
      <c r="E103" s="3">
        <v>0.54</v>
      </c>
      <c r="F103" s="3">
        <v>156.465</v>
      </c>
      <c r="G103" s="3">
        <v>153.75</v>
      </c>
      <c r="H103" s="9"/>
      <c r="I103" s="3" t="s">
        <v>256</v>
      </c>
      <c r="J103" s="3">
        <v>153.761</v>
      </c>
      <c r="K103" s="3">
        <v>0</v>
      </c>
      <c r="L103" s="3">
        <v>-5.01</v>
      </c>
      <c r="M103" s="10">
        <v>689.14</v>
      </c>
      <c r="N103" s="10"/>
    </row>
    <row r="104" spans="1:14" ht="20" x14ac:dyDescent="0.35">
      <c r="A104" s="2" t="s">
        <v>257</v>
      </c>
      <c r="B104" s="2">
        <v>244232410</v>
      </c>
      <c r="C104" s="2" t="s">
        <v>42</v>
      </c>
      <c r="D104" s="2" t="s">
        <v>23</v>
      </c>
      <c r="E104" s="2">
        <v>1.18</v>
      </c>
      <c r="F104" s="2">
        <v>6932.1</v>
      </c>
      <c r="G104" s="2">
        <v>6874.41</v>
      </c>
      <c r="H104" s="8"/>
      <c r="I104" s="2" t="s">
        <v>258</v>
      </c>
      <c r="J104" s="2">
        <v>6874.74</v>
      </c>
      <c r="K104" s="2">
        <v>0</v>
      </c>
      <c r="L104" s="2">
        <v>0</v>
      </c>
      <c r="M104" s="11">
        <v>496.81</v>
      </c>
      <c r="N104" s="11"/>
    </row>
    <row r="105" spans="1:14" ht="20" x14ac:dyDescent="0.35">
      <c r="A105" s="3" t="s">
        <v>257</v>
      </c>
      <c r="B105" s="3">
        <v>244232475</v>
      </c>
      <c r="C105" s="3" t="s">
        <v>42</v>
      </c>
      <c r="D105" s="3" t="s">
        <v>23</v>
      </c>
      <c r="E105" s="3">
        <v>1.18</v>
      </c>
      <c r="F105" s="3">
        <v>6932.09</v>
      </c>
      <c r="G105" s="3">
        <v>6850.78</v>
      </c>
      <c r="H105" s="9"/>
      <c r="I105" s="3" t="s">
        <v>259</v>
      </c>
      <c r="J105" s="3">
        <v>6851.47</v>
      </c>
      <c r="K105" s="3">
        <v>0</v>
      </c>
      <c r="L105" s="3">
        <v>0</v>
      </c>
      <c r="M105" s="10">
        <v>701.57</v>
      </c>
      <c r="N105" s="10"/>
    </row>
    <row r="106" spans="1:14" ht="20" x14ac:dyDescent="0.35">
      <c r="A106" s="2" t="s">
        <v>260</v>
      </c>
      <c r="B106" s="2">
        <v>244287540</v>
      </c>
      <c r="C106" s="2" t="s">
        <v>261</v>
      </c>
      <c r="D106" s="2" t="s">
        <v>23</v>
      </c>
      <c r="E106" s="2">
        <v>0.87</v>
      </c>
      <c r="F106" s="2">
        <v>0.71033000000000002</v>
      </c>
      <c r="G106" s="2">
        <v>0.70770999999999995</v>
      </c>
      <c r="H106" s="8"/>
      <c r="I106" s="2" t="s">
        <v>262</v>
      </c>
      <c r="J106" s="2">
        <v>0.70770999999999995</v>
      </c>
      <c r="K106" s="2">
        <v>0</v>
      </c>
      <c r="L106" s="2">
        <v>0</v>
      </c>
      <c r="M106" s="11">
        <v>165.32</v>
      </c>
      <c r="N106" s="11"/>
    </row>
    <row r="107" spans="1:14" ht="20" x14ac:dyDescent="0.35">
      <c r="A107" s="3" t="s">
        <v>260</v>
      </c>
      <c r="B107" s="3">
        <v>244287484</v>
      </c>
      <c r="C107" s="3" t="s">
        <v>261</v>
      </c>
      <c r="D107" s="3" t="s">
        <v>23</v>
      </c>
      <c r="E107" s="3">
        <v>0.87</v>
      </c>
      <c r="F107" s="3">
        <v>0.71033000000000002</v>
      </c>
      <c r="G107" s="3">
        <v>0.70772000000000002</v>
      </c>
      <c r="H107" s="9"/>
      <c r="I107" s="3" t="s">
        <v>263</v>
      </c>
      <c r="J107" s="3">
        <v>0.70772000000000002</v>
      </c>
      <c r="K107" s="3">
        <v>0</v>
      </c>
      <c r="L107" s="3">
        <v>0</v>
      </c>
      <c r="M107" s="10">
        <v>164.68</v>
      </c>
      <c r="N107" s="10"/>
    </row>
    <row r="108" spans="1:14" ht="20" x14ac:dyDescent="0.35">
      <c r="A108" s="2" t="s">
        <v>264</v>
      </c>
      <c r="B108" s="2">
        <v>244586896</v>
      </c>
      <c r="C108" s="2" t="s">
        <v>83</v>
      </c>
      <c r="D108" s="2" t="s">
        <v>13</v>
      </c>
      <c r="E108" s="2">
        <v>1.01</v>
      </c>
      <c r="F108" s="2">
        <v>153.447</v>
      </c>
      <c r="G108" s="2">
        <v>152.66999999999999</v>
      </c>
      <c r="H108" s="8"/>
      <c r="I108" s="2" t="s">
        <v>265</v>
      </c>
      <c r="J108" s="2">
        <v>153.42699999999999</v>
      </c>
      <c r="K108" s="2">
        <v>0</v>
      </c>
      <c r="L108" s="2">
        <v>0</v>
      </c>
      <c r="M108" s="11">
        <v>-9.8699999999999992</v>
      </c>
      <c r="N108" s="11"/>
    </row>
    <row r="109" spans="1:14" ht="20" x14ac:dyDescent="0.35">
      <c r="A109" s="3" t="s">
        <v>266</v>
      </c>
      <c r="B109" s="3">
        <v>244609083</v>
      </c>
      <c r="C109" s="3" t="s">
        <v>83</v>
      </c>
      <c r="D109" s="3" t="s">
        <v>23</v>
      </c>
      <c r="E109" s="3">
        <v>0.96</v>
      </c>
      <c r="F109" s="3">
        <v>152.83000000000001</v>
      </c>
      <c r="G109" s="3">
        <v>153.608</v>
      </c>
      <c r="H109" s="9"/>
      <c r="I109" s="3" t="s">
        <v>267</v>
      </c>
      <c r="J109" s="3">
        <v>153.608</v>
      </c>
      <c r="K109" s="3">
        <v>0</v>
      </c>
      <c r="L109" s="3">
        <v>0</v>
      </c>
      <c r="M109" s="10">
        <v>-363.43</v>
      </c>
      <c r="N109" s="10"/>
    </row>
    <row r="110" spans="1:14" ht="20" x14ac:dyDescent="0.35">
      <c r="A110" s="2" t="s">
        <v>266</v>
      </c>
      <c r="B110" s="2">
        <v>244609145</v>
      </c>
      <c r="C110" s="2" t="s">
        <v>83</v>
      </c>
      <c r="D110" s="2" t="s">
        <v>23</v>
      </c>
      <c r="E110" s="2">
        <v>0.95</v>
      </c>
      <c r="F110" s="2">
        <v>152.83000000000001</v>
      </c>
      <c r="G110" s="2">
        <v>153.608</v>
      </c>
      <c r="H110" s="8"/>
      <c r="I110" s="2" t="s">
        <v>267</v>
      </c>
      <c r="J110" s="2">
        <v>153.608</v>
      </c>
      <c r="K110" s="2">
        <v>0</v>
      </c>
      <c r="L110" s="2">
        <v>0</v>
      </c>
      <c r="M110" s="11">
        <v>-359.64</v>
      </c>
      <c r="N110" s="11"/>
    </row>
    <row r="111" spans="1:14" ht="20" x14ac:dyDescent="0.35">
      <c r="A111" s="3" t="s">
        <v>268</v>
      </c>
      <c r="B111" s="3">
        <v>246093230</v>
      </c>
      <c r="C111" s="3" t="s">
        <v>12</v>
      </c>
      <c r="D111" s="3" t="s">
        <v>13</v>
      </c>
      <c r="E111" s="3">
        <v>0.33</v>
      </c>
      <c r="F111" s="3">
        <v>65.988</v>
      </c>
      <c r="G111" s="3">
        <v>65.988</v>
      </c>
      <c r="H111" s="9"/>
      <c r="I111" s="3" t="s">
        <v>269</v>
      </c>
      <c r="J111" s="3">
        <v>65.972999999999999</v>
      </c>
      <c r="K111" s="3">
        <v>0</v>
      </c>
      <c r="L111" s="3">
        <v>0</v>
      </c>
      <c r="M111" s="10">
        <v>-3.74</v>
      </c>
      <c r="N111" s="10"/>
    </row>
    <row r="112" spans="1:14" ht="20" x14ac:dyDescent="0.35">
      <c r="A112" s="2" t="s">
        <v>268</v>
      </c>
      <c r="B112" s="2">
        <v>246093288</v>
      </c>
      <c r="C112" s="2" t="s">
        <v>12</v>
      </c>
      <c r="D112" s="2" t="s">
        <v>13</v>
      </c>
      <c r="E112" s="2">
        <v>0.33</v>
      </c>
      <c r="F112" s="2">
        <v>65.988</v>
      </c>
      <c r="G112" s="2">
        <v>65.988</v>
      </c>
      <c r="H112" s="8"/>
      <c r="I112" s="2" t="s">
        <v>269</v>
      </c>
      <c r="J112" s="2">
        <v>65.988</v>
      </c>
      <c r="K112" s="2">
        <v>0</v>
      </c>
      <c r="L112" s="2">
        <v>0</v>
      </c>
      <c r="M112" s="11">
        <v>0</v>
      </c>
      <c r="N112" s="11"/>
    </row>
    <row r="113" spans="1:14" ht="20" x14ac:dyDescent="0.35">
      <c r="A113" s="3" t="s">
        <v>270</v>
      </c>
      <c r="B113" s="3">
        <v>246428983</v>
      </c>
      <c r="C113" s="3" t="s">
        <v>42</v>
      </c>
      <c r="D113" s="3" t="s">
        <v>23</v>
      </c>
      <c r="E113" s="3">
        <v>1.89</v>
      </c>
      <c r="F113" s="3">
        <v>6850.11</v>
      </c>
      <c r="G113" s="3">
        <v>6850.11</v>
      </c>
      <c r="H113" s="9"/>
      <c r="I113" s="3" t="s">
        <v>271</v>
      </c>
      <c r="J113" s="3">
        <v>6850.08</v>
      </c>
      <c r="K113" s="3">
        <v>0</v>
      </c>
      <c r="L113" s="3">
        <v>0</v>
      </c>
      <c r="M113" s="10">
        <v>0.42</v>
      </c>
      <c r="N113" s="10"/>
    </row>
    <row r="114" spans="1:14" ht="20" x14ac:dyDescent="0.35">
      <c r="A114" s="2" t="s">
        <v>270</v>
      </c>
      <c r="B114" s="2">
        <v>246428926</v>
      </c>
      <c r="C114" s="2" t="s">
        <v>42</v>
      </c>
      <c r="D114" s="2" t="s">
        <v>23</v>
      </c>
      <c r="E114" s="2">
        <v>1.89</v>
      </c>
      <c r="F114" s="2">
        <v>6850.11</v>
      </c>
      <c r="G114" s="2">
        <v>6850.11</v>
      </c>
      <c r="H114" s="8"/>
      <c r="I114" s="2" t="s">
        <v>271</v>
      </c>
      <c r="J114" s="2">
        <v>6850.08</v>
      </c>
      <c r="K114" s="2">
        <v>0</v>
      </c>
      <c r="L114" s="2">
        <v>0</v>
      </c>
      <c r="M114" s="11">
        <v>0.42</v>
      </c>
      <c r="N114" s="11"/>
    </row>
    <row r="115" spans="1:14" ht="20" x14ac:dyDescent="0.35">
      <c r="A115" s="3" t="s">
        <v>272</v>
      </c>
      <c r="B115" s="3">
        <v>246732437</v>
      </c>
      <c r="C115" s="3" t="s">
        <v>83</v>
      </c>
      <c r="D115" s="3" t="s">
        <v>13</v>
      </c>
      <c r="E115" s="3">
        <v>1.07</v>
      </c>
      <c r="F115" s="3">
        <v>155.792</v>
      </c>
      <c r="G115" s="3">
        <v>155.792</v>
      </c>
      <c r="H115" s="9"/>
      <c r="I115" s="3" t="s">
        <v>273</v>
      </c>
      <c r="J115" s="3">
        <v>155.791</v>
      </c>
      <c r="K115" s="3">
        <v>0</v>
      </c>
      <c r="L115" s="3">
        <v>0</v>
      </c>
      <c r="M115" s="10">
        <v>-0.52</v>
      </c>
      <c r="N115" s="10"/>
    </row>
    <row r="116" spans="1:14" ht="20" x14ac:dyDescent="0.35">
      <c r="A116" s="2" t="s">
        <v>272</v>
      </c>
      <c r="B116" s="2">
        <v>246732379</v>
      </c>
      <c r="C116" s="2" t="s">
        <v>83</v>
      </c>
      <c r="D116" s="2" t="s">
        <v>13</v>
      </c>
      <c r="E116" s="2">
        <v>1.07</v>
      </c>
      <c r="F116" s="2">
        <v>155.792</v>
      </c>
      <c r="G116" s="2">
        <v>156.71799999999999</v>
      </c>
      <c r="H116" s="8"/>
      <c r="I116" s="2" t="s">
        <v>274</v>
      </c>
      <c r="J116" s="2">
        <v>156.71600000000001</v>
      </c>
      <c r="K116" s="2">
        <v>0</v>
      </c>
      <c r="L116" s="2">
        <v>0</v>
      </c>
      <c r="M116" s="11">
        <v>457.75</v>
      </c>
      <c r="N116" s="11"/>
    </row>
    <row r="117" spans="1:14" ht="20" x14ac:dyDescent="0.35">
      <c r="A117" s="3" t="s">
        <v>275</v>
      </c>
      <c r="B117" s="3">
        <v>247013130</v>
      </c>
      <c r="C117" s="3" t="s">
        <v>76</v>
      </c>
      <c r="D117" s="3" t="s">
        <v>23</v>
      </c>
      <c r="E117" s="3">
        <v>0.04</v>
      </c>
      <c r="F117" s="3">
        <v>5174.3100000000004</v>
      </c>
      <c r="G117" s="3">
        <v>5217.63</v>
      </c>
      <c r="H117" s="9"/>
      <c r="I117" s="3" t="s">
        <v>130</v>
      </c>
      <c r="J117" s="3">
        <v>5216.95</v>
      </c>
      <c r="K117" s="3">
        <v>0</v>
      </c>
      <c r="L117" s="3">
        <v>0</v>
      </c>
      <c r="M117" s="10">
        <v>-126.63</v>
      </c>
      <c r="N117" s="10"/>
    </row>
    <row r="118" spans="1:14" ht="20" x14ac:dyDescent="0.35">
      <c r="A118" s="2" t="s">
        <v>275</v>
      </c>
      <c r="B118" s="2">
        <v>247013068</v>
      </c>
      <c r="C118" s="2" t="s">
        <v>76</v>
      </c>
      <c r="D118" s="2" t="s">
        <v>23</v>
      </c>
      <c r="E118" s="2">
        <v>0.04</v>
      </c>
      <c r="F118" s="2">
        <v>5174.2700000000004</v>
      </c>
      <c r="G118" s="2">
        <v>5217.63</v>
      </c>
      <c r="H118" s="8"/>
      <c r="I118" s="2" t="s">
        <v>130</v>
      </c>
      <c r="J118" s="2">
        <v>5216.95</v>
      </c>
      <c r="K118" s="2">
        <v>0</v>
      </c>
      <c r="L118" s="2">
        <v>0</v>
      </c>
      <c r="M118" s="11">
        <v>-126.75</v>
      </c>
      <c r="N118" s="11"/>
    </row>
    <row r="119" spans="1:14" ht="20" x14ac:dyDescent="0.35">
      <c r="A119" s="3" t="s">
        <v>276</v>
      </c>
      <c r="B119" s="3">
        <v>247042026</v>
      </c>
      <c r="C119" s="3" t="s">
        <v>42</v>
      </c>
      <c r="D119" s="3" t="s">
        <v>23</v>
      </c>
      <c r="E119" s="3">
        <v>0.54</v>
      </c>
      <c r="F119" s="3">
        <v>6926.25</v>
      </c>
      <c r="G119" s="3">
        <v>6854.11</v>
      </c>
      <c r="H119" s="9"/>
      <c r="I119" s="3" t="s">
        <v>277</v>
      </c>
      <c r="J119" s="3">
        <v>6854.45</v>
      </c>
      <c r="K119" s="3">
        <v>0</v>
      </c>
      <c r="L119" s="3">
        <v>0</v>
      </c>
      <c r="M119" s="10">
        <v>288.14999999999998</v>
      </c>
      <c r="N119" s="10"/>
    </row>
    <row r="120" spans="1:14" ht="20" x14ac:dyDescent="0.35">
      <c r="A120" s="2" t="s">
        <v>276</v>
      </c>
      <c r="B120" s="2">
        <v>247042148</v>
      </c>
      <c r="C120" s="2" t="s">
        <v>42</v>
      </c>
      <c r="D120" s="2" t="s">
        <v>23</v>
      </c>
      <c r="E120" s="2">
        <v>0.54</v>
      </c>
      <c r="F120" s="2">
        <v>6926.25</v>
      </c>
      <c r="G120" s="2">
        <v>6792.51</v>
      </c>
      <c r="H120" s="8"/>
      <c r="I120" s="2" t="s">
        <v>278</v>
      </c>
      <c r="J120" s="2">
        <v>6792.2</v>
      </c>
      <c r="K120" s="2">
        <v>0</v>
      </c>
      <c r="L120" s="2">
        <v>0</v>
      </c>
      <c r="M120" s="11">
        <v>542.35</v>
      </c>
      <c r="N120" s="11"/>
    </row>
    <row r="121" spans="1:14" ht="20" x14ac:dyDescent="0.35">
      <c r="A121" s="3" t="s">
        <v>279</v>
      </c>
      <c r="B121" s="3">
        <v>248034440</v>
      </c>
      <c r="C121" s="3" t="s">
        <v>31</v>
      </c>
      <c r="D121" s="3" t="s">
        <v>13</v>
      </c>
      <c r="E121" s="3">
        <v>0.6</v>
      </c>
      <c r="F121" s="3">
        <v>1.3426800000000001</v>
      </c>
      <c r="G121" s="3">
        <v>1.3359099999999999</v>
      </c>
      <c r="H121" s="9"/>
      <c r="I121" s="3" t="s">
        <v>280</v>
      </c>
      <c r="J121" s="3">
        <v>1.3359099999999999</v>
      </c>
      <c r="K121" s="3">
        <v>0</v>
      </c>
      <c r="L121" s="3">
        <v>0</v>
      </c>
      <c r="M121" s="10">
        <v>-310.14</v>
      </c>
      <c r="N121" s="10"/>
    </row>
    <row r="122" spans="1:14" ht="20" x14ac:dyDescent="0.35">
      <c r="A122" s="2" t="s">
        <v>279</v>
      </c>
      <c r="B122" s="2">
        <v>248034539</v>
      </c>
      <c r="C122" s="2" t="s">
        <v>31</v>
      </c>
      <c r="D122" s="2" t="s">
        <v>13</v>
      </c>
      <c r="E122" s="2">
        <v>0.6</v>
      </c>
      <c r="F122" s="2">
        <v>1.3426800000000001</v>
      </c>
      <c r="G122" s="2">
        <v>1.3359099999999999</v>
      </c>
      <c r="H122" s="8"/>
      <c r="I122" s="2" t="s">
        <v>280</v>
      </c>
      <c r="J122" s="2">
        <v>1.3359099999999999</v>
      </c>
      <c r="K122" s="2">
        <v>0</v>
      </c>
      <c r="L122" s="2">
        <v>0</v>
      </c>
      <c r="M122" s="11">
        <v>-310.14</v>
      </c>
      <c r="N122" s="11"/>
    </row>
    <row r="123" spans="1:14" ht="20" x14ac:dyDescent="0.35">
      <c r="A123" s="3" t="s">
        <v>281</v>
      </c>
      <c r="B123" s="3">
        <v>248911302</v>
      </c>
      <c r="C123" s="3" t="s">
        <v>31</v>
      </c>
      <c r="D123" s="3" t="s">
        <v>13</v>
      </c>
      <c r="E123" s="3">
        <v>0.53</v>
      </c>
      <c r="F123" s="3">
        <v>1.3370299999999999</v>
      </c>
      <c r="G123" s="3">
        <v>1.3301799999999999</v>
      </c>
      <c r="H123" s="9"/>
      <c r="I123" s="3" t="s">
        <v>282</v>
      </c>
      <c r="J123" s="3">
        <v>1.3301799999999999</v>
      </c>
      <c r="K123" s="3">
        <v>0</v>
      </c>
      <c r="L123" s="3">
        <v>0</v>
      </c>
      <c r="M123" s="10">
        <v>-278.39</v>
      </c>
      <c r="N123" s="10"/>
    </row>
    <row r="124" spans="1:14" ht="20" x14ac:dyDescent="0.35">
      <c r="A124" s="2" t="s">
        <v>281</v>
      </c>
      <c r="B124" s="2">
        <v>248911370</v>
      </c>
      <c r="C124" s="2" t="s">
        <v>31</v>
      </c>
      <c r="D124" s="2" t="s">
        <v>13</v>
      </c>
      <c r="E124" s="2">
        <v>0.53</v>
      </c>
      <c r="F124" s="2">
        <v>1.3370299999999999</v>
      </c>
      <c r="G124" s="2">
        <v>1.3301799999999999</v>
      </c>
      <c r="H124" s="8"/>
      <c r="I124" s="2" t="s">
        <v>282</v>
      </c>
      <c r="J124" s="2">
        <v>1.3301799999999999</v>
      </c>
      <c r="K124" s="2">
        <v>0</v>
      </c>
      <c r="L124" s="2">
        <v>0</v>
      </c>
      <c r="M124" s="11">
        <v>-278.39</v>
      </c>
      <c r="N124" s="11"/>
    </row>
    <row r="125" spans="1:14" ht="20" x14ac:dyDescent="0.35">
      <c r="A125" s="3" t="s">
        <v>283</v>
      </c>
      <c r="B125" s="3">
        <v>249308225</v>
      </c>
      <c r="C125" s="3" t="s">
        <v>284</v>
      </c>
      <c r="D125" s="3" t="s">
        <v>23</v>
      </c>
      <c r="E125" s="3">
        <v>0.3</v>
      </c>
      <c r="F125" s="3">
        <v>10538.71</v>
      </c>
      <c r="G125" s="3">
        <v>10637.89</v>
      </c>
      <c r="H125" s="9"/>
      <c r="I125" s="3" t="s">
        <v>285</v>
      </c>
      <c r="J125" s="3">
        <v>10637.73</v>
      </c>
      <c r="K125" s="3">
        <v>0</v>
      </c>
      <c r="L125" s="3">
        <v>0</v>
      </c>
      <c r="M125" s="10">
        <v>-297.06</v>
      </c>
      <c r="N125" s="10"/>
    </row>
    <row r="126" spans="1:14" ht="20" x14ac:dyDescent="0.35">
      <c r="A126" s="2" t="s">
        <v>286</v>
      </c>
      <c r="B126" s="2">
        <v>249308283</v>
      </c>
      <c r="C126" s="2" t="s">
        <v>284</v>
      </c>
      <c r="D126" s="2" t="s">
        <v>23</v>
      </c>
      <c r="E126" s="2">
        <v>0.3</v>
      </c>
      <c r="F126" s="2">
        <v>10538.71</v>
      </c>
      <c r="G126" s="2">
        <v>10637.89</v>
      </c>
      <c r="H126" s="8"/>
      <c r="I126" s="2" t="s">
        <v>285</v>
      </c>
      <c r="J126" s="2">
        <v>10637.73</v>
      </c>
      <c r="K126" s="2">
        <v>0</v>
      </c>
      <c r="L126" s="2">
        <v>0</v>
      </c>
      <c r="M126" s="11">
        <v>-297.06</v>
      </c>
      <c r="N126" s="11"/>
    </row>
  </sheetData>
  <mergeCells count="126">
    <mergeCell ref="M1:N1"/>
    <mergeCell ref="M2:N2"/>
    <mergeCell ref="M3:N3"/>
    <mergeCell ref="M4:N4"/>
    <mergeCell ref="M5:N5"/>
    <mergeCell ref="M6:N6"/>
    <mergeCell ref="M13:N13"/>
    <mergeCell ref="M14:N14"/>
    <mergeCell ref="M15:N15"/>
    <mergeCell ref="M16:N16"/>
    <mergeCell ref="M17:N17"/>
    <mergeCell ref="M18:N18"/>
    <mergeCell ref="M7:N7"/>
    <mergeCell ref="M8:N8"/>
    <mergeCell ref="M9:N9"/>
    <mergeCell ref="M10:N10"/>
    <mergeCell ref="M11:N11"/>
    <mergeCell ref="M12:N12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61:N61"/>
    <mergeCell ref="M62:N62"/>
    <mergeCell ref="M63:N63"/>
    <mergeCell ref="M64:N64"/>
    <mergeCell ref="M65:N65"/>
    <mergeCell ref="M66:N66"/>
    <mergeCell ref="M55:N55"/>
    <mergeCell ref="M56:N56"/>
    <mergeCell ref="M57:N57"/>
    <mergeCell ref="M58:N58"/>
    <mergeCell ref="M59:N59"/>
    <mergeCell ref="M60:N60"/>
    <mergeCell ref="M73:N73"/>
    <mergeCell ref="M74:N74"/>
    <mergeCell ref="M75:N75"/>
    <mergeCell ref="M76:N76"/>
    <mergeCell ref="M77:N77"/>
    <mergeCell ref="M78:N78"/>
    <mergeCell ref="M67:N67"/>
    <mergeCell ref="M68:N68"/>
    <mergeCell ref="M69:N69"/>
    <mergeCell ref="M70:N70"/>
    <mergeCell ref="M71:N71"/>
    <mergeCell ref="M72:N72"/>
    <mergeCell ref="M85:N85"/>
    <mergeCell ref="M86:N86"/>
    <mergeCell ref="M87:N87"/>
    <mergeCell ref="M88:N88"/>
    <mergeCell ref="M89:N89"/>
    <mergeCell ref="M90:N90"/>
    <mergeCell ref="M79:N79"/>
    <mergeCell ref="M80:N80"/>
    <mergeCell ref="M81:N81"/>
    <mergeCell ref="M82:N82"/>
    <mergeCell ref="M83:N83"/>
    <mergeCell ref="M84:N84"/>
    <mergeCell ref="M97:N97"/>
    <mergeCell ref="M98:N98"/>
    <mergeCell ref="M99:N99"/>
    <mergeCell ref="M100:N100"/>
    <mergeCell ref="M101:N101"/>
    <mergeCell ref="M102:N102"/>
    <mergeCell ref="M91:N91"/>
    <mergeCell ref="M92:N92"/>
    <mergeCell ref="M93:N93"/>
    <mergeCell ref="M94:N94"/>
    <mergeCell ref="M95:N95"/>
    <mergeCell ref="M96:N96"/>
    <mergeCell ref="M109:N109"/>
    <mergeCell ref="M110:N110"/>
    <mergeCell ref="M111:N111"/>
    <mergeCell ref="M112:N112"/>
    <mergeCell ref="M113:N113"/>
    <mergeCell ref="M114:N114"/>
    <mergeCell ref="M103:N103"/>
    <mergeCell ref="M104:N104"/>
    <mergeCell ref="M105:N105"/>
    <mergeCell ref="M106:N106"/>
    <mergeCell ref="M107:N107"/>
    <mergeCell ref="M108:N108"/>
    <mergeCell ref="M121:N121"/>
    <mergeCell ref="M122:N122"/>
    <mergeCell ref="M123:N123"/>
    <mergeCell ref="M124:N124"/>
    <mergeCell ref="M125:N125"/>
    <mergeCell ref="M126:N126"/>
    <mergeCell ref="M115:N115"/>
    <mergeCell ref="M116:N116"/>
    <mergeCell ref="M117:N117"/>
    <mergeCell ref="M118:N118"/>
    <mergeCell ref="M119:N119"/>
    <mergeCell ref="M120:N1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8EB3-9969-46FF-8A25-066168517CD7}">
  <dimension ref="A1:J87"/>
  <sheetViews>
    <sheetView workbookViewId="0">
      <selection activeCell="L7" sqref="L7"/>
    </sheetView>
  </sheetViews>
  <sheetFormatPr defaultRowHeight="14.5" x14ac:dyDescent="0.35"/>
  <cols>
    <col min="1" max="1" width="17.6328125" customWidth="1"/>
    <col min="2" max="2" width="17.54296875" customWidth="1"/>
    <col min="3" max="3" width="17.6328125" customWidth="1"/>
    <col min="4" max="4" width="17.453125" customWidth="1"/>
    <col min="6" max="6" width="10.81640625" customWidth="1"/>
    <col min="7" max="7" width="9.90625" bestFit="1" customWidth="1"/>
    <col min="10" max="10" width="11.36328125" bestFit="1" customWidth="1"/>
  </cols>
  <sheetData>
    <row r="1" spans="1:10" ht="15" thickBot="1" x14ac:dyDescent="0.4">
      <c r="A1" s="4" t="s">
        <v>435</v>
      </c>
      <c r="B1" s="4" t="s">
        <v>436</v>
      </c>
      <c r="C1" s="4" t="s">
        <v>437</v>
      </c>
      <c r="D1" s="4" t="s">
        <v>2</v>
      </c>
      <c r="E1" s="4" t="s">
        <v>287</v>
      </c>
      <c r="F1" s="4" t="s">
        <v>545</v>
      </c>
      <c r="G1" t="s">
        <v>433</v>
      </c>
      <c r="H1" t="s">
        <v>546</v>
      </c>
      <c r="I1" t="s">
        <v>434</v>
      </c>
      <c r="J1" t="s">
        <v>548</v>
      </c>
    </row>
    <row r="2" spans="1:10" ht="15" thickBot="1" x14ac:dyDescent="0.4">
      <c r="A2" s="4" t="s">
        <v>448</v>
      </c>
      <c r="B2" s="4" t="s">
        <v>449</v>
      </c>
      <c r="C2" s="4" t="s">
        <v>438</v>
      </c>
      <c r="D2" s="4" t="s">
        <v>12</v>
      </c>
      <c r="E2" s="5">
        <v>0.01</v>
      </c>
      <c r="F2" s="5">
        <v>-0.05</v>
      </c>
      <c r="G2" s="6">
        <v>500</v>
      </c>
      <c r="H2" s="6">
        <v>25</v>
      </c>
      <c r="I2" s="5">
        <v>-2E-3</v>
      </c>
      <c r="J2" s="4">
        <f>500+F2</f>
        <v>499.95</v>
      </c>
    </row>
    <row r="3" spans="1:10" ht="15" thickBot="1" x14ac:dyDescent="0.4">
      <c r="A3" s="4" t="s">
        <v>448</v>
      </c>
      <c r="B3" s="4" t="s">
        <v>449</v>
      </c>
      <c r="C3" s="4" t="s">
        <v>438</v>
      </c>
      <c r="D3" s="4" t="s">
        <v>12</v>
      </c>
      <c r="E3" s="5">
        <v>0.01</v>
      </c>
      <c r="F3" s="5">
        <v>-0.05</v>
      </c>
      <c r="G3" s="6">
        <v>499.95</v>
      </c>
      <c r="H3" s="6">
        <v>25</v>
      </c>
      <c r="I3" s="5">
        <v>-2E-3</v>
      </c>
      <c r="J3" s="4">
        <f>J2+F3</f>
        <v>499.9</v>
      </c>
    </row>
    <row r="4" spans="1:10" ht="15" thickBot="1" x14ac:dyDescent="0.4">
      <c r="A4" s="4" t="s">
        <v>450</v>
      </c>
      <c r="B4" s="4" t="s">
        <v>451</v>
      </c>
      <c r="C4" s="4" t="s">
        <v>440</v>
      </c>
      <c r="D4" s="4" t="s">
        <v>16</v>
      </c>
      <c r="E4" s="5">
        <v>0.05</v>
      </c>
      <c r="F4" s="5">
        <v>9.27</v>
      </c>
      <c r="G4" s="6">
        <v>499.9</v>
      </c>
      <c r="H4" s="6">
        <v>25</v>
      </c>
      <c r="I4" s="4">
        <v>0.37</v>
      </c>
      <c r="J4" s="4">
        <f t="shared" ref="J4:J67" si="0">J3+F4</f>
        <v>509.16999999999996</v>
      </c>
    </row>
    <row r="5" spans="1:10" ht="15" thickBot="1" x14ac:dyDescent="0.4">
      <c r="A5" s="4" t="s">
        <v>450</v>
      </c>
      <c r="B5" s="4" t="s">
        <v>452</v>
      </c>
      <c r="C5" s="4" t="s">
        <v>440</v>
      </c>
      <c r="D5" s="4" t="s">
        <v>16</v>
      </c>
      <c r="E5" s="5">
        <v>0.05</v>
      </c>
      <c r="F5" s="5">
        <v>21.85</v>
      </c>
      <c r="G5" s="6">
        <v>509.17</v>
      </c>
      <c r="H5" s="6">
        <v>25.46</v>
      </c>
      <c r="I5" s="4">
        <v>0.86</v>
      </c>
      <c r="J5" s="4">
        <f t="shared" si="0"/>
        <v>531.02</v>
      </c>
    </row>
    <row r="6" spans="1:10" ht="15" thickBot="1" x14ac:dyDescent="0.4">
      <c r="A6" s="4" t="s">
        <v>453</v>
      </c>
      <c r="B6" s="4" t="s">
        <v>454</v>
      </c>
      <c r="C6" s="4" t="s">
        <v>438</v>
      </c>
      <c r="D6" s="4" t="s">
        <v>12</v>
      </c>
      <c r="E6" s="5">
        <v>0.01</v>
      </c>
      <c r="F6" s="5">
        <v>-4.34</v>
      </c>
      <c r="G6" s="6">
        <v>531.02</v>
      </c>
      <c r="H6" s="6">
        <v>26.55</v>
      </c>
      <c r="I6" s="5">
        <v>-0.16</v>
      </c>
      <c r="J6" s="4">
        <f t="shared" si="0"/>
        <v>526.67999999999995</v>
      </c>
    </row>
    <row r="7" spans="1:10" ht="15" thickBot="1" x14ac:dyDescent="0.4">
      <c r="A7" s="4" t="s">
        <v>453</v>
      </c>
      <c r="B7" s="4" t="s">
        <v>454</v>
      </c>
      <c r="C7" s="4" t="s">
        <v>438</v>
      </c>
      <c r="D7" s="4" t="s">
        <v>12</v>
      </c>
      <c r="E7" s="5">
        <v>0.01</v>
      </c>
      <c r="F7" s="5">
        <v>-4.34</v>
      </c>
      <c r="G7" s="6">
        <v>526.67999999999995</v>
      </c>
      <c r="H7" s="6">
        <v>26.33</v>
      </c>
      <c r="I7" s="5">
        <v>-0.16</v>
      </c>
      <c r="J7" s="4">
        <f t="shared" si="0"/>
        <v>522.33999999999992</v>
      </c>
    </row>
    <row r="8" spans="1:10" ht="15" thickBot="1" x14ac:dyDescent="0.4">
      <c r="A8" s="4" t="s">
        <v>455</v>
      </c>
      <c r="B8" s="4" t="s">
        <v>456</v>
      </c>
      <c r="C8" s="4" t="s">
        <v>440</v>
      </c>
      <c r="D8" s="4" t="s">
        <v>16</v>
      </c>
      <c r="E8" s="5">
        <v>0.05</v>
      </c>
      <c r="F8" s="5">
        <v>9.25</v>
      </c>
      <c r="G8" s="6">
        <v>522.34</v>
      </c>
      <c r="H8" s="6">
        <v>26.12</v>
      </c>
      <c r="I8" s="4">
        <v>0.35</v>
      </c>
      <c r="J8" s="4">
        <f t="shared" si="0"/>
        <v>531.58999999999992</v>
      </c>
    </row>
    <row r="9" spans="1:10" ht="15" thickBot="1" x14ac:dyDescent="0.4">
      <c r="A9" s="4" t="s">
        <v>455</v>
      </c>
      <c r="B9" s="4" t="s">
        <v>457</v>
      </c>
      <c r="C9" s="4" t="s">
        <v>440</v>
      </c>
      <c r="D9" s="4" t="s">
        <v>16</v>
      </c>
      <c r="E9" s="5">
        <v>0.05</v>
      </c>
      <c r="F9" s="5">
        <v>25.48</v>
      </c>
      <c r="G9" s="6">
        <v>531.59</v>
      </c>
      <c r="H9" s="6">
        <v>26.58</v>
      </c>
      <c r="I9" s="4">
        <v>0.96</v>
      </c>
      <c r="J9" s="4">
        <f t="shared" si="0"/>
        <v>557.06999999999994</v>
      </c>
    </row>
    <row r="10" spans="1:10" ht="15" thickBot="1" x14ac:dyDescent="0.4">
      <c r="A10" s="4" t="s">
        <v>458</v>
      </c>
      <c r="B10" s="4" t="s">
        <v>459</v>
      </c>
      <c r="C10" s="4" t="s">
        <v>438</v>
      </c>
      <c r="D10" s="4" t="s">
        <v>12</v>
      </c>
      <c r="E10" s="5">
        <v>0.01</v>
      </c>
      <c r="F10" s="5">
        <v>0.08</v>
      </c>
      <c r="G10" s="6">
        <v>557.07000000000005</v>
      </c>
      <c r="H10" s="6">
        <v>27.85</v>
      </c>
      <c r="I10" s="4" t="s">
        <v>289</v>
      </c>
      <c r="J10" s="4">
        <f t="shared" si="0"/>
        <v>557.15</v>
      </c>
    </row>
    <row r="11" spans="1:10" ht="15" thickBot="1" x14ac:dyDescent="0.4">
      <c r="A11" s="4" t="s">
        <v>458</v>
      </c>
      <c r="B11" s="4" t="s">
        <v>459</v>
      </c>
      <c r="C11" s="4" t="s">
        <v>438</v>
      </c>
      <c r="D11" s="4" t="s">
        <v>12</v>
      </c>
      <c r="E11" s="5">
        <v>0.01</v>
      </c>
      <c r="F11" s="5">
        <v>0.08</v>
      </c>
      <c r="G11" s="6">
        <v>557.15</v>
      </c>
      <c r="H11" s="6">
        <v>27.86</v>
      </c>
      <c r="I11" s="4" t="s">
        <v>289</v>
      </c>
      <c r="J11" s="4">
        <f t="shared" si="0"/>
        <v>557.23</v>
      </c>
    </row>
    <row r="12" spans="1:10" ht="15" thickBot="1" x14ac:dyDescent="0.4">
      <c r="A12" s="4" t="s">
        <v>460</v>
      </c>
      <c r="B12" s="4" t="s">
        <v>457</v>
      </c>
      <c r="C12" s="4" t="s">
        <v>440</v>
      </c>
      <c r="D12" s="4" t="s">
        <v>16</v>
      </c>
      <c r="E12" s="5">
        <v>0.05</v>
      </c>
      <c r="F12" s="5">
        <v>2.92</v>
      </c>
      <c r="G12" s="6">
        <v>557.23</v>
      </c>
      <c r="H12" s="6">
        <v>27.86</v>
      </c>
      <c r="I12" s="4">
        <v>0.1</v>
      </c>
      <c r="J12" s="4">
        <f t="shared" si="0"/>
        <v>560.15</v>
      </c>
    </row>
    <row r="13" spans="1:10" ht="15" thickBot="1" x14ac:dyDescent="0.4">
      <c r="A13" s="4" t="s">
        <v>460</v>
      </c>
      <c r="B13" s="4" t="s">
        <v>461</v>
      </c>
      <c r="C13" s="4" t="s">
        <v>440</v>
      </c>
      <c r="D13" s="4" t="s">
        <v>16</v>
      </c>
      <c r="E13" s="5">
        <v>0.05</v>
      </c>
      <c r="F13" s="5">
        <v>9.1999999999999993</v>
      </c>
      <c r="G13" s="6">
        <v>560.15</v>
      </c>
      <c r="H13" s="6">
        <v>28.01</v>
      </c>
      <c r="I13" s="4">
        <v>0.33</v>
      </c>
      <c r="J13" s="4">
        <f t="shared" si="0"/>
        <v>569.35</v>
      </c>
    </row>
    <row r="14" spans="1:10" ht="15" thickBot="1" x14ac:dyDescent="0.4">
      <c r="A14" s="4" t="s">
        <v>462</v>
      </c>
      <c r="B14" s="4" t="s">
        <v>463</v>
      </c>
      <c r="C14" s="4" t="s">
        <v>443</v>
      </c>
      <c r="D14" s="4" t="s">
        <v>31</v>
      </c>
      <c r="E14" s="5">
        <v>0.01</v>
      </c>
      <c r="F14" s="5">
        <v>0</v>
      </c>
      <c r="G14" s="6">
        <v>569.35</v>
      </c>
      <c r="H14" s="6">
        <v>28.47</v>
      </c>
      <c r="I14" s="4" t="s">
        <v>289</v>
      </c>
      <c r="J14" s="4">
        <f t="shared" si="0"/>
        <v>569.35</v>
      </c>
    </row>
    <row r="15" spans="1:10" ht="15" thickBot="1" x14ac:dyDescent="0.4">
      <c r="A15" s="4" t="s">
        <v>462</v>
      </c>
      <c r="B15" s="4" t="s">
        <v>464</v>
      </c>
      <c r="C15" s="4" t="s">
        <v>443</v>
      </c>
      <c r="D15" s="4" t="s">
        <v>31</v>
      </c>
      <c r="E15" s="5">
        <v>0.01</v>
      </c>
      <c r="F15" s="5">
        <v>0</v>
      </c>
      <c r="G15" s="6">
        <v>569.35</v>
      </c>
      <c r="H15" s="6">
        <v>28.47</v>
      </c>
      <c r="I15" s="4" t="s">
        <v>289</v>
      </c>
      <c r="J15" s="4">
        <f t="shared" si="0"/>
        <v>569.35</v>
      </c>
    </row>
    <row r="16" spans="1:10" ht="15" thickBot="1" x14ac:dyDescent="0.4">
      <c r="A16" s="4" t="s">
        <v>465</v>
      </c>
      <c r="B16" s="4" t="s">
        <v>466</v>
      </c>
      <c r="C16" s="4" t="s">
        <v>445</v>
      </c>
      <c r="D16" s="4" t="s">
        <v>36</v>
      </c>
      <c r="E16" s="5">
        <v>0.01</v>
      </c>
      <c r="F16" s="5">
        <v>12.34</v>
      </c>
      <c r="G16" s="6">
        <v>569.35</v>
      </c>
      <c r="H16" s="6">
        <v>28.47</v>
      </c>
      <c r="I16" s="4">
        <v>0.43</v>
      </c>
      <c r="J16" s="4">
        <f t="shared" si="0"/>
        <v>581.69000000000005</v>
      </c>
    </row>
    <row r="17" spans="1:10" ht="15" thickBot="1" x14ac:dyDescent="0.4">
      <c r="A17" s="4" t="s">
        <v>465</v>
      </c>
      <c r="B17" s="4" t="s">
        <v>467</v>
      </c>
      <c r="C17" s="4" t="s">
        <v>445</v>
      </c>
      <c r="D17" s="4" t="s">
        <v>36</v>
      </c>
      <c r="E17" s="5">
        <v>0.01</v>
      </c>
      <c r="F17" s="5">
        <v>-0.11</v>
      </c>
      <c r="G17" s="6">
        <v>581.69000000000005</v>
      </c>
      <c r="H17" s="6">
        <v>29.08</v>
      </c>
      <c r="I17" s="4" t="s">
        <v>289</v>
      </c>
      <c r="J17" s="4">
        <f t="shared" si="0"/>
        <v>581.58000000000004</v>
      </c>
    </row>
    <row r="18" spans="1:10" ht="15" thickBot="1" x14ac:dyDescent="0.4">
      <c r="A18" s="4" t="s">
        <v>468</v>
      </c>
      <c r="B18" s="4" t="s">
        <v>469</v>
      </c>
      <c r="C18" s="4" t="s">
        <v>438</v>
      </c>
      <c r="D18" s="4" t="s">
        <v>12</v>
      </c>
      <c r="E18" s="5">
        <v>0.01</v>
      </c>
      <c r="F18" s="5">
        <v>-8.84</v>
      </c>
      <c r="G18" s="6">
        <v>581.58000000000004</v>
      </c>
      <c r="H18" s="6">
        <v>29.08</v>
      </c>
      <c r="I18" s="5">
        <v>-0.3</v>
      </c>
      <c r="J18" s="4">
        <f t="shared" si="0"/>
        <v>572.74</v>
      </c>
    </row>
    <row r="19" spans="1:10" ht="15" thickBot="1" x14ac:dyDescent="0.4">
      <c r="A19" s="4" t="s">
        <v>468</v>
      </c>
      <c r="B19" s="4" t="s">
        <v>469</v>
      </c>
      <c r="C19" s="4" t="s">
        <v>438</v>
      </c>
      <c r="D19" s="4" t="s">
        <v>12</v>
      </c>
      <c r="E19" s="5">
        <v>0.01</v>
      </c>
      <c r="F19" s="5">
        <v>-8.84</v>
      </c>
      <c r="G19" s="6">
        <v>572.74</v>
      </c>
      <c r="H19" s="6">
        <v>28.64</v>
      </c>
      <c r="I19" s="5">
        <v>-0.31</v>
      </c>
      <c r="J19" s="4">
        <f t="shared" si="0"/>
        <v>563.9</v>
      </c>
    </row>
    <row r="20" spans="1:10" ht="15" thickBot="1" x14ac:dyDescent="0.4">
      <c r="A20" s="4" t="s">
        <v>470</v>
      </c>
      <c r="B20" s="4" t="s">
        <v>471</v>
      </c>
      <c r="C20" s="4" t="s">
        <v>442</v>
      </c>
      <c r="D20" s="4" t="s">
        <v>42</v>
      </c>
      <c r="E20" s="5">
        <v>0.02</v>
      </c>
      <c r="F20" s="5">
        <v>18.79</v>
      </c>
      <c r="G20" s="6">
        <v>563.9</v>
      </c>
      <c r="H20" s="6">
        <v>28.2</v>
      </c>
      <c r="I20" s="4">
        <v>0.67</v>
      </c>
      <c r="J20" s="4">
        <f t="shared" si="0"/>
        <v>582.68999999999994</v>
      </c>
    </row>
    <row r="21" spans="1:10" ht="15" thickBot="1" x14ac:dyDescent="0.4">
      <c r="A21" s="4" t="s">
        <v>470</v>
      </c>
      <c r="B21" s="4" t="s">
        <v>472</v>
      </c>
      <c r="C21" s="4" t="s">
        <v>442</v>
      </c>
      <c r="D21" s="4" t="s">
        <v>42</v>
      </c>
      <c r="E21" s="5">
        <v>0.02</v>
      </c>
      <c r="F21" s="5">
        <v>0</v>
      </c>
      <c r="G21" s="6">
        <v>582.69000000000005</v>
      </c>
      <c r="H21" s="6">
        <v>29.13</v>
      </c>
      <c r="I21" s="4" t="s">
        <v>289</v>
      </c>
      <c r="J21" s="4">
        <f t="shared" si="0"/>
        <v>582.68999999999994</v>
      </c>
    </row>
    <row r="22" spans="1:10" ht="15" thickBot="1" x14ac:dyDescent="0.4">
      <c r="A22" s="4" t="s">
        <v>473</v>
      </c>
      <c r="B22" s="4" t="s">
        <v>295</v>
      </c>
      <c r="C22" s="4" t="s">
        <v>439</v>
      </c>
      <c r="D22" s="4" t="s">
        <v>46</v>
      </c>
      <c r="E22" s="5">
        <v>0.62</v>
      </c>
      <c r="F22" s="5">
        <v>-97.34</v>
      </c>
      <c r="G22" s="6">
        <v>582.69000000000005</v>
      </c>
      <c r="H22" s="6">
        <v>29.13</v>
      </c>
      <c r="I22" s="5">
        <v>-3.34</v>
      </c>
      <c r="J22" s="4">
        <f t="shared" si="0"/>
        <v>485.34999999999991</v>
      </c>
    </row>
    <row r="23" spans="1:10" ht="15" thickBot="1" x14ac:dyDescent="0.4">
      <c r="A23" s="4" t="s">
        <v>473</v>
      </c>
      <c r="B23" s="4" t="s">
        <v>295</v>
      </c>
      <c r="C23" s="4" t="s">
        <v>439</v>
      </c>
      <c r="D23" s="4" t="s">
        <v>46</v>
      </c>
      <c r="E23" s="5">
        <v>0.62</v>
      </c>
      <c r="F23" s="5">
        <v>-97.34</v>
      </c>
      <c r="G23" s="6">
        <v>485.35</v>
      </c>
      <c r="H23" s="6">
        <v>24.27</v>
      </c>
      <c r="I23" s="5">
        <v>-4.01</v>
      </c>
      <c r="J23" s="4">
        <f t="shared" si="0"/>
        <v>388.00999999999988</v>
      </c>
    </row>
    <row r="24" spans="1:10" ht="15" thickBot="1" x14ac:dyDescent="0.4">
      <c r="A24" s="4" t="s">
        <v>474</v>
      </c>
      <c r="B24" s="4" t="s">
        <v>303</v>
      </c>
      <c r="C24" s="4" t="s">
        <v>439</v>
      </c>
      <c r="D24" s="4" t="s">
        <v>46</v>
      </c>
      <c r="E24" s="5">
        <v>0.34</v>
      </c>
      <c r="F24" s="5">
        <v>248.11</v>
      </c>
      <c r="G24" s="6">
        <v>388.01</v>
      </c>
      <c r="H24" s="6">
        <v>19.399999999999999</v>
      </c>
      <c r="I24" s="4">
        <v>12.79</v>
      </c>
      <c r="J24" s="4">
        <f t="shared" si="0"/>
        <v>636.11999999999989</v>
      </c>
    </row>
    <row r="25" spans="1:10" ht="15" thickBot="1" x14ac:dyDescent="0.4">
      <c r="A25" s="4" t="s">
        <v>474</v>
      </c>
      <c r="B25" s="4" t="s">
        <v>303</v>
      </c>
      <c r="C25" s="4" t="s">
        <v>439</v>
      </c>
      <c r="D25" s="4" t="s">
        <v>46</v>
      </c>
      <c r="E25" s="5">
        <v>0.34</v>
      </c>
      <c r="F25" s="5">
        <v>248.11</v>
      </c>
      <c r="G25" s="6">
        <v>636.12</v>
      </c>
      <c r="H25" s="6">
        <v>31.81</v>
      </c>
      <c r="I25" s="4">
        <v>7.8</v>
      </c>
      <c r="J25" s="4">
        <f t="shared" si="0"/>
        <v>884.2299999999999</v>
      </c>
    </row>
    <row r="26" spans="1:10" ht="15" thickBot="1" x14ac:dyDescent="0.4">
      <c r="A26" s="4" t="s">
        <v>475</v>
      </c>
      <c r="B26" s="4" t="s">
        <v>476</v>
      </c>
      <c r="C26" s="4" t="s">
        <v>440</v>
      </c>
      <c r="D26" s="4" t="s">
        <v>16</v>
      </c>
      <c r="E26" s="5">
        <v>0.53</v>
      </c>
      <c r="F26" s="5">
        <v>307.41000000000003</v>
      </c>
      <c r="G26" s="6">
        <v>884.23</v>
      </c>
      <c r="H26" s="6">
        <v>44.21</v>
      </c>
      <c r="I26" s="4">
        <v>6.95</v>
      </c>
      <c r="J26" s="4">
        <f t="shared" si="0"/>
        <v>1191.6399999999999</v>
      </c>
    </row>
    <row r="27" spans="1:10" ht="15" thickBot="1" x14ac:dyDescent="0.4">
      <c r="A27" s="4" t="s">
        <v>475</v>
      </c>
      <c r="B27" s="4" t="s">
        <v>477</v>
      </c>
      <c r="C27" s="4" t="s">
        <v>440</v>
      </c>
      <c r="D27" s="4" t="s">
        <v>16</v>
      </c>
      <c r="E27" s="5">
        <v>0.53</v>
      </c>
      <c r="F27" s="5">
        <v>292.19</v>
      </c>
      <c r="G27" s="6">
        <v>1191.6400000000001</v>
      </c>
      <c r="H27" s="6">
        <v>59.58</v>
      </c>
      <c r="I27" s="4">
        <v>4.9000000000000004</v>
      </c>
      <c r="J27" s="4">
        <f t="shared" si="0"/>
        <v>1483.83</v>
      </c>
    </row>
    <row r="28" spans="1:10" ht="15" thickBot="1" x14ac:dyDescent="0.4">
      <c r="A28" s="4" t="s">
        <v>478</v>
      </c>
      <c r="B28" s="4" t="s">
        <v>479</v>
      </c>
      <c r="C28" s="4" t="s">
        <v>438</v>
      </c>
      <c r="D28" s="4" t="s">
        <v>12</v>
      </c>
      <c r="E28" s="5">
        <v>0.31</v>
      </c>
      <c r="F28" s="5">
        <v>290.36</v>
      </c>
      <c r="G28" s="6">
        <v>1483.83</v>
      </c>
      <c r="H28" s="6">
        <v>74.19</v>
      </c>
      <c r="I28" s="4">
        <v>3.91</v>
      </c>
      <c r="J28" s="4">
        <f t="shared" si="0"/>
        <v>1774.19</v>
      </c>
    </row>
    <row r="29" spans="1:10" ht="15" thickBot="1" x14ac:dyDescent="0.4">
      <c r="A29" s="4" t="s">
        <v>478</v>
      </c>
      <c r="B29" s="4" t="s">
        <v>480</v>
      </c>
      <c r="C29" s="4" t="s">
        <v>438</v>
      </c>
      <c r="D29" s="4" t="s">
        <v>12</v>
      </c>
      <c r="E29" s="5">
        <v>0.31</v>
      </c>
      <c r="F29" s="5">
        <v>1.1499999999999999</v>
      </c>
      <c r="G29" s="6">
        <v>1774.19</v>
      </c>
      <c r="H29" s="6">
        <v>88.71</v>
      </c>
      <c r="I29" s="4" t="s">
        <v>289</v>
      </c>
      <c r="J29" s="4">
        <f t="shared" si="0"/>
        <v>1775.3400000000001</v>
      </c>
    </row>
    <row r="30" spans="1:10" ht="15" thickBot="1" x14ac:dyDescent="0.4">
      <c r="A30" s="4" t="s">
        <v>481</v>
      </c>
      <c r="B30" s="4" t="s">
        <v>482</v>
      </c>
      <c r="C30" s="4" t="s">
        <v>442</v>
      </c>
      <c r="D30" s="4" t="s">
        <v>42</v>
      </c>
      <c r="E30" s="5">
        <v>1.07</v>
      </c>
      <c r="F30" s="5">
        <v>-179.56</v>
      </c>
      <c r="G30" s="6">
        <v>1775.34</v>
      </c>
      <c r="H30" s="6">
        <v>88.77</v>
      </c>
      <c r="I30" s="5">
        <v>-2.02</v>
      </c>
      <c r="J30" s="4">
        <f t="shared" si="0"/>
        <v>1595.7800000000002</v>
      </c>
    </row>
    <row r="31" spans="1:10" ht="15" thickBot="1" x14ac:dyDescent="0.4">
      <c r="A31" s="4" t="s">
        <v>481</v>
      </c>
      <c r="B31" s="4" t="s">
        <v>482</v>
      </c>
      <c r="C31" s="4" t="s">
        <v>442</v>
      </c>
      <c r="D31" s="4" t="s">
        <v>42</v>
      </c>
      <c r="E31" s="5">
        <v>1.07</v>
      </c>
      <c r="F31" s="5">
        <v>-176.74</v>
      </c>
      <c r="G31" s="6">
        <v>1595.78</v>
      </c>
      <c r="H31" s="6">
        <v>79.790000000000006</v>
      </c>
      <c r="I31" s="5">
        <v>-2.2200000000000002</v>
      </c>
      <c r="J31" s="4">
        <f t="shared" si="0"/>
        <v>1419.0400000000002</v>
      </c>
    </row>
    <row r="32" spans="1:10" ht="15" thickBot="1" x14ac:dyDescent="0.4">
      <c r="A32" s="4" t="s">
        <v>483</v>
      </c>
      <c r="B32" s="4" t="s">
        <v>484</v>
      </c>
      <c r="C32" s="4" t="s">
        <v>438</v>
      </c>
      <c r="D32" s="4" t="s">
        <v>12</v>
      </c>
      <c r="E32" s="5">
        <v>0.28000000000000003</v>
      </c>
      <c r="F32" s="5">
        <v>-1.07</v>
      </c>
      <c r="G32" s="6">
        <v>1419.04</v>
      </c>
      <c r="H32" s="6">
        <v>70.95</v>
      </c>
      <c r="I32" s="4" t="s">
        <v>289</v>
      </c>
      <c r="J32" s="4">
        <f t="shared" si="0"/>
        <v>1417.9700000000003</v>
      </c>
    </row>
    <row r="33" spans="1:10" ht="15" thickBot="1" x14ac:dyDescent="0.4">
      <c r="A33" s="4" t="s">
        <v>483</v>
      </c>
      <c r="B33" s="4" t="s">
        <v>484</v>
      </c>
      <c r="C33" s="4" t="s">
        <v>438</v>
      </c>
      <c r="D33" s="4" t="s">
        <v>12</v>
      </c>
      <c r="E33" s="5">
        <v>0.28000000000000003</v>
      </c>
      <c r="F33" s="5">
        <v>-1.07</v>
      </c>
      <c r="G33" s="6">
        <v>1417.97</v>
      </c>
      <c r="H33" s="6">
        <v>70.900000000000006</v>
      </c>
      <c r="I33" s="4" t="s">
        <v>289</v>
      </c>
      <c r="J33" s="4">
        <f t="shared" si="0"/>
        <v>1416.9000000000003</v>
      </c>
    </row>
    <row r="34" spans="1:10" ht="15" thickBot="1" x14ac:dyDescent="0.4">
      <c r="A34" s="4" t="s">
        <v>485</v>
      </c>
      <c r="B34" s="4" t="s">
        <v>486</v>
      </c>
      <c r="C34" s="4" t="s">
        <v>442</v>
      </c>
      <c r="D34" s="4" t="s">
        <v>42</v>
      </c>
      <c r="E34" s="5">
        <v>0.88</v>
      </c>
      <c r="F34" s="5">
        <v>-2.57</v>
      </c>
      <c r="G34" s="6">
        <v>1416.9</v>
      </c>
      <c r="H34" s="6">
        <v>70.849999999999994</v>
      </c>
      <c r="I34" s="4" t="s">
        <v>289</v>
      </c>
      <c r="J34" s="4">
        <f t="shared" si="0"/>
        <v>1414.3300000000004</v>
      </c>
    </row>
    <row r="35" spans="1:10" ht="15" thickBot="1" x14ac:dyDescent="0.4">
      <c r="A35" s="4" t="s">
        <v>485</v>
      </c>
      <c r="B35" s="4" t="s">
        <v>486</v>
      </c>
      <c r="C35" s="4" t="s">
        <v>442</v>
      </c>
      <c r="D35" s="4" t="s">
        <v>42</v>
      </c>
      <c r="E35" s="5">
        <v>0.88</v>
      </c>
      <c r="F35" s="5">
        <v>-2.57</v>
      </c>
      <c r="G35" s="6">
        <v>1414.33</v>
      </c>
      <c r="H35" s="6">
        <v>70.72</v>
      </c>
      <c r="I35" s="4" t="s">
        <v>289</v>
      </c>
      <c r="J35" s="4">
        <f t="shared" si="0"/>
        <v>1411.7600000000004</v>
      </c>
    </row>
    <row r="36" spans="1:10" ht="15" thickBot="1" x14ac:dyDescent="0.4">
      <c r="A36" s="4" t="s">
        <v>487</v>
      </c>
      <c r="B36" s="4" t="s">
        <v>488</v>
      </c>
      <c r="C36" s="4" t="s">
        <v>439</v>
      </c>
      <c r="D36" s="4" t="s">
        <v>46</v>
      </c>
      <c r="E36" s="5">
        <v>1.2</v>
      </c>
      <c r="F36" s="5">
        <v>956.61</v>
      </c>
      <c r="G36" s="6">
        <v>1411.76</v>
      </c>
      <c r="H36" s="6">
        <v>70.59</v>
      </c>
      <c r="I36" s="4">
        <v>13.55</v>
      </c>
      <c r="J36" s="4">
        <f t="shared" si="0"/>
        <v>2368.3700000000003</v>
      </c>
    </row>
    <row r="37" spans="1:10" ht="15" thickBot="1" x14ac:dyDescent="0.4">
      <c r="A37" s="4" t="s">
        <v>487</v>
      </c>
      <c r="B37" s="4" t="s">
        <v>489</v>
      </c>
      <c r="C37" s="4" t="s">
        <v>439</v>
      </c>
      <c r="D37" s="4" t="s">
        <v>46</v>
      </c>
      <c r="E37" s="5">
        <v>1.2</v>
      </c>
      <c r="F37" s="5">
        <v>484.12</v>
      </c>
      <c r="G37" s="6">
        <v>2368.37</v>
      </c>
      <c r="H37" s="6">
        <v>118.42</v>
      </c>
      <c r="I37" s="4">
        <v>4.09</v>
      </c>
      <c r="J37" s="4">
        <f t="shared" si="0"/>
        <v>2852.4900000000002</v>
      </c>
    </row>
    <row r="38" spans="1:10" ht="15" thickBot="1" x14ac:dyDescent="0.4">
      <c r="A38" s="4" t="s">
        <v>490</v>
      </c>
      <c r="B38" s="4" t="s">
        <v>491</v>
      </c>
      <c r="C38" s="4" t="s">
        <v>442</v>
      </c>
      <c r="D38" s="4" t="s">
        <v>42</v>
      </c>
      <c r="E38" s="5">
        <v>1.33</v>
      </c>
      <c r="F38" s="5">
        <v>613.33000000000004</v>
      </c>
      <c r="G38" s="6">
        <v>2852.49</v>
      </c>
      <c r="H38" s="6">
        <v>142.62</v>
      </c>
      <c r="I38" s="4">
        <v>4.3</v>
      </c>
      <c r="J38" s="4">
        <f t="shared" si="0"/>
        <v>3465.82</v>
      </c>
    </row>
    <row r="39" spans="1:10" ht="15" thickBot="1" x14ac:dyDescent="0.4">
      <c r="A39" s="4" t="s">
        <v>490</v>
      </c>
      <c r="B39" s="4" t="s">
        <v>492</v>
      </c>
      <c r="C39" s="4" t="s">
        <v>442</v>
      </c>
      <c r="D39" s="4" t="s">
        <v>42</v>
      </c>
      <c r="E39" s="5">
        <v>1.33</v>
      </c>
      <c r="F39" s="5">
        <v>1512.01</v>
      </c>
      <c r="G39" s="6">
        <v>3465.82</v>
      </c>
      <c r="H39" s="6">
        <v>173.29</v>
      </c>
      <c r="I39" s="4">
        <v>8.73</v>
      </c>
      <c r="J39" s="4">
        <f t="shared" si="0"/>
        <v>4977.83</v>
      </c>
    </row>
    <row r="40" spans="1:10" ht="15" thickBot="1" x14ac:dyDescent="0.4">
      <c r="A40" s="4" t="s">
        <v>493</v>
      </c>
      <c r="B40" s="4" t="s">
        <v>494</v>
      </c>
      <c r="C40" s="4" t="s">
        <v>438</v>
      </c>
      <c r="D40" s="4" t="s">
        <v>12</v>
      </c>
      <c r="E40" s="5">
        <v>0.64</v>
      </c>
      <c r="F40" s="5">
        <v>318.56</v>
      </c>
      <c r="G40" s="6">
        <v>4977.83</v>
      </c>
      <c r="H40" s="6">
        <v>248.89</v>
      </c>
      <c r="I40" s="4">
        <v>1.28</v>
      </c>
      <c r="J40" s="4">
        <f t="shared" si="0"/>
        <v>5296.39</v>
      </c>
    </row>
    <row r="41" spans="1:10" ht="15" thickBot="1" x14ac:dyDescent="0.4">
      <c r="A41" s="4" t="s">
        <v>493</v>
      </c>
      <c r="B41" s="4" t="s">
        <v>495</v>
      </c>
      <c r="C41" s="4" t="s">
        <v>438</v>
      </c>
      <c r="D41" s="4" t="s">
        <v>12</v>
      </c>
      <c r="E41" s="5">
        <v>0.64</v>
      </c>
      <c r="F41" s="5">
        <v>627.88</v>
      </c>
      <c r="G41" s="6">
        <v>5296.39</v>
      </c>
      <c r="H41" s="6">
        <v>264.82</v>
      </c>
      <c r="I41" s="4">
        <v>2.37</v>
      </c>
      <c r="J41" s="4">
        <f t="shared" si="0"/>
        <v>5924.27</v>
      </c>
    </row>
    <row r="42" spans="1:10" ht="15" thickBot="1" x14ac:dyDescent="0.4">
      <c r="A42" s="4" t="s">
        <v>496</v>
      </c>
      <c r="B42" s="4" t="s">
        <v>497</v>
      </c>
      <c r="C42" s="4" t="s">
        <v>442</v>
      </c>
      <c r="D42" s="4" t="s">
        <v>42</v>
      </c>
      <c r="E42" s="5">
        <v>0.77</v>
      </c>
      <c r="F42" s="5">
        <v>833.28</v>
      </c>
      <c r="G42" s="6">
        <v>5924.27</v>
      </c>
      <c r="H42" s="6">
        <v>296.20999999999998</v>
      </c>
      <c r="I42" s="4">
        <v>2.81</v>
      </c>
      <c r="J42" s="4">
        <f t="shared" si="0"/>
        <v>6757.55</v>
      </c>
    </row>
    <row r="43" spans="1:10" ht="15" thickBot="1" x14ac:dyDescent="0.4">
      <c r="A43" s="4" t="s">
        <v>496</v>
      </c>
      <c r="B43" s="4" t="s">
        <v>498</v>
      </c>
      <c r="C43" s="4" t="s">
        <v>442</v>
      </c>
      <c r="D43" s="4" t="s">
        <v>42</v>
      </c>
      <c r="E43" s="5">
        <v>0.77</v>
      </c>
      <c r="F43" s="5">
        <v>596.38</v>
      </c>
      <c r="G43" s="6">
        <v>6757.55</v>
      </c>
      <c r="H43" s="6">
        <v>337.88</v>
      </c>
      <c r="I43" s="4">
        <v>1.77</v>
      </c>
      <c r="J43" s="4">
        <f t="shared" si="0"/>
        <v>7353.93</v>
      </c>
    </row>
    <row r="44" spans="1:10" ht="15" thickBot="1" x14ac:dyDescent="0.4">
      <c r="A44" s="4" t="s">
        <v>499</v>
      </c>
      <c r="B44" s="4" t="s">
        <v>500</v>
      </c>
      <c r="C44" s="4" t="s">
        <v>441</v>
      </c>
      <c r="D44" s="4" t="s">
        <v>76</v>
      </c>
      <c r="E44" s="5">
        <v>0.09</v>
      </c>
      <c r="F44" s="5">
        <v>1033.47</v>
      </c>
      <c r="G44" s="6">
        <v>7353.93</v>
      </c>
      <c r="H44" s="6">
        <v>367.7</v>
      </c>
      <c r="I44" s="4">
        <v>2.81</v>
      </c>
      <c r="J44" s="4">
        <f t="shared" si="0"/>
        <v>8387.4</v>
      </c>
    </row>
    <row r="45" spans="1:10" ht="15" thickBot="1" x14ac:dyDescent="0.4">
      <c r="A45" s="4" t="s">
        <v>499</v>
      </c>
      <c r="B45" s="4" t="s">
        <v>501</v>
      </c>
      <c r="C45" s="4" t="s">
        <v>441</v>
      </c>
      <c r="D45" s="4" t="s">
        <v>76</v>
      </c>
      <c r="E45" s="5">
        <v>0.09</v>
      </c>
      <c r="F45" s="5">
        <v>-1.06</v>
      </c>
      <c r="G45" s="6">
        <v>8387.4</v>
      </c>
      <c r="H45" s="6">
        <v>419.37</v>
      </c>
      <c r="I45" s="4" t="s">
        <v>289</v>
      </c>
      <c r="J45" s="4">
        <f t="shared" si="0"/>
        <v>8386.34</v>
      </c>
    </row>
    <row r="46" spans="1:10" ht="15" thickBot="1" x14ac:dyDescent="0.4">
      <c r="A46" s="4" t="s">
        <v>502</v>
      </c>
      <c r="B46" s="4" t="s">
        <v>503</v>
      </c>
      <c r="C46" s="4" t="s">
        <v>438</v>
      </c>
      <c r="D46" s="4" t="s">
        <v>12</v>
      </c>
      <c r="E46" s="5">
        <v>1.1000000000000001</v>
      </c>
      <c r="F46" s="5">
        <v>-12.53</v>
      </c>
      <c r="G46" s="6">
        <v>8386.34</v>
      </c>
      <c r="H46" s="6">
        <v>419.32</v>
      </c>
      <c r="I46" s="4" t="s">
        <v>289</v>
      </c>
      <c r="J46" s="4">
        <f t="shared" si="0"/>
        <v>8373.81</v>
      </c>
    </row>
    <row r="47" spans="1:10" ht="15" thickBot="1" x14ac:dyDescent="0.4">
      <c r="A47" s="4" t="s">
        <v>502</v>
      </c>
      <c r="B47" s="4" t="s">
        <v>503</v>
      </c>
      <c r="C47" s="4" t="s">
        <v>438</v>
      </c>
      <c r="D47" s="4" t="s">
        <v>12</v>
      </c>
      <c r="E47" s="5">
        <v>1.1000000000000001</v>
      </c>
      <c r="F47" s="5">
        <v>-12.53</v>
      </c>
      <c r="G47" s="6">
        <v>8373.81</v>
      </c>
      <c r="H47" s="6">
        <v>418.69</v>
      </c>
      <c r="I47" s="4" t="s">
        <v>289</v>
      </c>
      <c r="J47" s="4">
        <f t="shared" si="0"/>
        <v>8361.2799999999988</v>
      </c>
    </row>
    <row r="48" spans="1:10" ht="15" thickBot="1" x14ac:dyDescent="0.4">
      <c r="A48" s="4" t="s">
        <v>504</v>
      </c>
      <c r="B48" s="4" t="s">
        <v>505</v>
      </c>
      <c r="C48" s="4" t="s">
        <v>444</v>
      </c>
      <c r="D48" s="4" t="s">
        <v>83</v>
      </c>
      <c r="E48" s="5">
        <v>0.99</v>
      </c>
      <c r="F48" s="5">
        <v>-430.92</v>
      </c>
      <c r="G48" s="6">
        <v>8361.2800000000007</v>
      </c>
      <c r="H48" s="6">
        <v>418.06</v>
      </c>
      <c r="I48" s="5">
        <v>-1.03</v>
      </c>
      <c r="J48" s="4">
        <f t="shared" si="0"/>
        <v>7930.3599999999988</v>
      </c>
    </row>
    <row r="49" spans="1:10" ht="15" thickBot="1" x14ac:dyDescent="0.4">
      <c r="A49" s="4" t="s">
        <v>504</v>
      </c>
      <c r="B49" s="4" t="s">
        <v>505</v>
      </c>
      <c r="C49" s="4" t="s">
        <v>444</v>
      </c>
      <c r="D49" s="4" t="s">
        <v>83</v>
      </c>
      <c r="E49" s="5">
        <v>0.99</v>
      </c>
      <c r="F49" s="5">
        <v>-429.01</v>
      </c>
      <c r="G49" s="6">
        <v>7930.36</v>
      </c>
      <c r="H49" s="6">
        <v>396.52</v>
      </c>
      <c r="I49" s="5">
        <v>-1.08</v>
      </c>
      <c r="J49" s="4">
        <f t="shared" si="0"/>
        <v>7501.3499999999985</v>
      </c>
    </row>
    <row r="50" spans="1:10" ht="15" thickBot="1" x14ac:dyDescent="0.4">
      <c r="A50" s="4" t="s">
        <v>506</v>
      </c>
      <c r="B50" s="4" t="s">
        <v>507</v>
      </c>
      <c r="C50" s="4" t="s">
        <v>438</v>
      </c>
      <c r="D50" s="4" t="s">
        <v>12</v>
      </c>
      <c r="E50" s="5">
        <v>1.39</v>
      </c>
      <c r="F50" s="5">
        <v>-581.94000000000005</v>
      </c>
      <c r="G50" s="6">
        <v>7501.35</v>
      </c>
      <c r="H50" s="6">
        <v>375.07</v>
      </c>
      <c r="I50" s="5">
        <v>-1.55</v>
      </c>
      <c r="J50" s="4">
        <f t="shared" si="0"/>
        <v>6919.409999999998</v>
      </c>
    </row>
    <row r="51" spans="1:10" ht="15" thickBot="1" x14ac:dyDescent="0.4">
      <c r="A51" s="4" t="s">
        <v>506</v>
      </c>
      <c r="B51" s="4" t="s">
        <v>507</v>
      </c>
      <c r="C51" s="4" t="s">
        <v>438</v>
      </c>
      <c r="D51" s="4" t="s">
        <v>12</v>
      </c>
      <c r="E51" s="5">
        <v>1.39</v>
      </c>
      <c r="F51" s="5">
        <v>-581.94000000000005</v>
      </c>
      <c r="G51" s="6">
        <v>6919.41</v>
      </c>
      <c r="H51" s="6">
        <v>345.97</v>
      </c>
      <c r="I51" s="5">
        <v>-1.68</v>
      </c>
      <c r="J51" s="4">
        <f t="shared" si="0"/>
        <v>6337.4699999999975</v>
      </c>
    </row>
    <row r="52" spans="1:10" ht="15" thickBot="1" x14ac:dyDescent="0.4">
      <c r="A52" s="4" t="s">
        <v>508</v>
      </c>
      <c r="B52" s="4" t="s">
        <v>366</v>
      </c>
      <c r="C52" s="4" t="s">
        <v>438</v>
      </c>
      <c r="D52" s="4" t="s">
        <v>12</v>
      </c>
      <c r="E52" s="5">
        <v>1.0900000000000001</v>
      </c>
      <c r="F52" s="5">
        <v>2997.15</v>
      </c>
      <c r="G52" s="6">
        <v>6337.47</v>
      </c>
      <c r="H52" s="6">
        <v>316.87</v>
      </c>
      <c r="I52" s="4">
        <v>9.4600000000000009</v>
      </c>
      <c r="J52" s="4">
        <f t="shared" si="0"/>
        <v>9334.6199999999972</v>
      </c>
    </row>
    <row r="53" spans="1:10" ht="15" thickBot="1" x14ac:dyDescent="0.4">
      <c r="A53" s="4" t="s">
        <v>508</v>
      </c>
      <c r="B53" s="4" t="s">
        <v>509</v>
      </c>
      <c r="C53" s="4" t="s">
        <v>438</v>
      </c>
      <c r="D53" s="4" t="s">
        <v>12</v>
      </c>
      <c r="E53" s="5">
        <v>1.0900000000000001</v>
      </c>
      <c r="F53" s="5">
        <v>966.64</v>
      </c>
      <c r="G53" s="6">
        <v>9334.6200000000008</v>
      </c>
      <c r="H53" s="6">
        <v>466.73</v>
      </c>
      <c r="I53" s="4">
        <v>2.0699999999999998</v>
      </c>
      <c r="J53" s="4">
        <f t="shared" si="0"/>
        <v>10301.259999999997</v>
      </c>
    </row>
    <row r="54" spans="1:10" ht="15" thickBot="1" x14ac:dyDescent="0.4">
      <c r="A54" s="4" t="s">
        <v>510</v>
      </c>
      <c r="B54" s="4" t="s">
        <v>511</v>
      </c>
      <c r="C54" s="4" t="s">
        <v>442</v>
      </c>
      <c r="D54" s="4" t="s">
        <v>42</v>
      </c>
      <c r="E54" s="5">
        <v>1.96</v>
      </c>
      <c r="F54" s="5">
        <v>-4.96</v>
      </c>
      <c r="G54" s="6">
        <v>10301.26</v>
      </c>
      <c r="H54" s="6">
        <v>515.05999999999995</v>
      </c>
      <c r="I54" s="4" t="s">
        <v>289</v>
      </c>
      <c r="J54" s="4">
        <f t="shared" si="0"/>
        <v>10296.299999999997</v>
      </c>
    </row>
    <row r="55" spans="1:10" ht="15" thickBot="1" x14ac:dyDescent="0.4">
      <c r="A55" s="4" t="s">
        <v>510</v>
      </c>
      <c r="B55" s="4" t="s">
        <v>512</v>
      </c>
      <c r="C55" s="4" t="s">
        <v>442</v>
      </c>
      <c r="D55" s="4" t="s">
        <v>42</v>
      </c>
      <c r="E55" s="5">
        <v>1.96</v>
      </c>
      <c r="F55" s="5">
        <v>216.91</v>
      </c>
      <c r="G55" s="6">
        <v>10296.299999999999</v>
      </c>
      <c r="H55" s="6">
        <v>514.82000000000005</v>
      </c>
      <c r="I55" s="4">
        <v>0.42</v>
      </c>
      <c r="J55" s="4">
        <f t="shared" si="0"/>
        <v>10513.209999999997</v>
      </c>
    </row>
    <row r="56" spans="1:10" ht="15" thickBot="1" x14ac:dyDescent="0.4">
      <c r="A56" s="4" t="s">
        <v>513</v>
      </c>
      <c r="B56" s="4" t="s">
        <v>514</v>
      </c>
      <c r="C56" s="4" t="s">
        <v>441</v>
      </c>
      <c r="D56" s="4" t="s">
        <v>76</v>
      </c>
      <c r="E56" s="5">
        <v>0.14000000000000001</v>
      </c>
      <c r="F56" s="5">
        <v>-591.83000000000004</v>
      </c>
      <c r="G56" s="6">
        <v>10513.21</v>
      </c>
      <c r="H56" s="6">
        <v>525.66</v>
      </c>
      <c r="I56" s="5">
        <v>-1.1299999999999999</v>
      </c>
      <c r="J56" s="4">
        <f t="shared" si="0"/>
        <v>9921.3799999999974</v>
      </c>
    </row>
    <row r="57" spans="1:10" ht="15" thickBot="1" x14ac:dyDescent="0.4">
      <c r="A57" s="4" t="s">
        <v>513</v>
      </c>
      <c r="B57" s="4" t="s">
        <v>514</v>
      </c>
      <c r="C57" s="4" t="s">
        <v>441</v>
      </c>
      <c r="D57" s="4" t="s">
        <v>76</v>
      </c>
      <c r="E57" s="5">
        <v>0.14000000000000001</v>
      </c>
      <c r="F57" s="5">
        <v>-591.83000000000004</v>
      </c>
      <c r="G57" s="6">
        <v>9921.3799999999992</v>
      </c>
      <c r="H57" s="6">
        <v>496.07</v>
      </c>
      <c r="I57" s="5">
        <v>-1.19</v>
      </c>
      <c r="J57" s="4">
        <f t="shared" si="0"/>
        <v>9329.5499999999975</v>
      </c>
    </row>
    <row r="58" spans="1:10" ht="15" thickBot="1" x14ac:dyDescent="0.4">
      <c r="A58" s="4" t="s">
        <v>515</v>
      </c>
      <c r="B58" s="4" t="s">
        <v>516</v>
      </c>
      <c r="C58" s="4" t="s">
        <v>443</v>
      </c>
      <c r="D58" s="4" t="s">
        <v>31</v>
      </c>
      <c r="E58" s="5">
        <v>1.1200000000000001</v>
      </c>
      <c r="F58" s="5">
        <v>2193.21</v>
      </c>
      <c r="G58" s="6">
        <v>9329.5499999999993</v>
      </c>
      <c r="H58" s="6">
        <v>466.48</v>
      </c>
      <c r="I58" s="4">
        <v>4.7</v>
      </c>
      <c r="J58" s="4">
        <f t="shared" si="0"/>
        <v>11522.759999999998</v>
      </c>
    </row>
    <row r="59" spans="1:10" ht="15" thickBot="1" x14ac:dyDescent="0.4">
      <c r="A59" s="4" t="s">
        <v>515</v>
      </c>
      <c r="B59" s="4" t="s">
        <v>517</v>
      </c>
      <c r="C59" s="4" t="s">
        <v>443</v>
      </c>
      <c r="D59" s="4" t="s">
        <v>31</v>
      </c>
      <c r="E59" s="5">
        <v>1.1200000000000001</v>
      </c>
      <c r="F59" s="5">
        <v>1186.5899999999999</v>
      </c>
      <c r="G59" s="6">
        <v>11522.76</v>
      </c>
      <c r="H59" s="6">
        <v>576.14</v>
      </c>
      <c r="I59" s="4">
        <v>2.06</v>
      </c>
      <c r="J59" s="4">
        <f t="shared" si="0"/>
        <v>12709.349999999999</v>
      </c>
    </row>
    <row r="60" spans="1:10" ht="15" thickBot="1" x14ac:dyDescent="0.4">
      <c r="A60" s="4" t="s">
        <v>518</v>
      </c>
      <c r="B60" s="4" t="s">
        <v>519</v>
      </c>
      <c r="C60" s="4" t="s">
        <v>442</v>
      </c>
      <c r="D60" s="4" t="s">
        <v>42</v>
      </c>
      <c r="E60" s="5">
        <v>1.93</v>
      </c>
      <c r="F60" s="5">
        <v>-15.52</v>
      </c>
      <c r="G60" s="6">
        <v>12709.35</v>
      </c>
      <c r="H60" s="6">
        <v>635.47</v>
      </c>
      <c r="I60" s="4" t="s">
        <v>289</v>
      </c>
      <c r="J60" s="4">
        <f t="shared" si="0"/>
        <v>12693.829999999998</v>
      </c>
    </row>
    <row r="61" spans="1:10" ht="15" thickBot="1" x14ac:dyDescent="0.4">
      <c r="A61" s="4" t="s">
        <v>518</v>
      </c>
      <c r="B61" s="4" t="s">
        <v>519</v>
      </c>
      <c r="C61" s="4" t="s">
        <v>442</v>
      </c>
      <c r="D61" s="4" t="s">
        <v>42</v>
      </c>
      <c r="E61" s="5">
        <v>1.93</v>
      </c>
      <c r="F61" s="5">
        <v>-14.82</v>
      </c>
      <c r="G61" s="6">
        <v>12693.83</v>
      </c>
      <c r="H61" s="6">
        <v>634.69000000000005</v>
      </c>
      <c r="I61" s="4" t="s">
        <v>289</v>
      </c>
      <c r="J61" s="4">
        <f t="shared" si="0"/>
        <v>12679.009999999998</v>
      </c>
    </row>
    <row r="62" spans="1:10" ht="15" thickBot="1" x14ac:dyDescent="0.4">
      <c r="A62" s="4" t="s">
        <v>520</v>
      </c>
      <c r="B62" s="4" t="s">
        <v>521</v>
      </c>
      <c r="C62" s="4" t="s">
        <v>442</v>
      </c>
      <c r="D62" s="4" t="s">
        <v>42</v>
      </c>
      <c r="E62" s="5">
        <v>2.2799999999999998</v>
      </c>
      <c r="F62" s="5">
        <v>-784.16</v>
      </c>
      <c r="G62" s="6">
        <v>12679.01</v>
      </c>
      <c r="H62" s="6">
        <v>633.95000000000005</v>
      </c>
      <c r="I62" s="5">
        <v>-1.24</v>
      </c>
      <c r="J62" s="4">
        <f t="shared" si="0"/>
        <v>11894.849999999999</v>
      </c>
    </row>
    <row r="63" spans="1:10" ht="15" thickBot="1" x14ac:dyDescent="0.4">
      <c r="A63" s="4" t="s">
        <v>520</v>
      </c>
      <c r="B63" s="4" t="s">
        <v>521</v>
      </c>
      <c r="C63" s="4" t="s">
        <v>442</v>
      </c>
      <c r="D63" s="4" t="s">
        <v>42</v>
      </c>
      <c r="E63" s="5">
        <v>2.2799999999999998</v>
      </c>
      <c r="F63" s="5">
        <v>-787</v>
      </c>
      <c r="G63" s="6">
        <v>11894.85</v>
      </c>
      <c r="H63" s="6">
        <v>594.74</v>
      </c>
      <c r="I63" s="5">
        <v>-1.32</v>
      </c>
      <c r="J63" s="4">
        <f t="shared" si="0"/>
        <v>11107.849999999999</v>
      </c>
    </row>
    <row r="64" spans="1:10" ht="15" thickBot="1" x14ac:dyDescent="0.4">
      <c r="A64" s="4" t="s">
        <v>522</v>
      </c>
      <c r="B64" s="4" t="s">
        <v>523</v>
      </c>
      <c r="C64" s="4" t="s">
        <v>442</v>
      </c>
      <c r="D64" s="4" t="s">
        <v>42</v>
      </c>
      <c r="E64" s="5">
        <v>0.99</v>
      </c>
      <c r="F64" s="5">
        <v>-5.97</v>
      </c>
      <c r="G64" s="6">
        <v>11107.85</v>
      </c>
      <c r="H64" s="6">
        <v>555.39</v>
      </c>
      <c r="I64" s="4" t="s">
        <v>289</v>
      </c>
      <c r="J64" s="4">
        <f t="shared" si="0"/>
        <v>11101.88</v>
      </c>
    </row>
    <row r="65" spans="1:10" ht="15" thickBot="1" x14ac:dyDescent="0.4">
      <c r="A65" s="4" t="s">
        <v>522</v>
      </c>
      <c r="B65" s="4" t="s">
        <v>523</v>
      </c>
      <c r="C65" s="4" t="s">
        <v>442</v>
      </c>
      <c r="D65" s="4" t="s">
        <v>42</v>
      </c>
      <c r="E65" s="5">
        <v>0.99</v>
      </c>
      <c r="F65" s="5">
        <v>-6.26</v>
      </c>
      <c r="G65" s="6">
        <v>11101.88</v>
      </c>
      <c r="H65" s="6">
        <v>555.09</v>
      </c>
      <c r="I65" s="4" t="s">
        <v>289</v>
      </c>
      <c r="J65" s="4">
        <f t="shared" si="0"/>
        <v>11095.619999999999</v>
      </c>
    </row>
    <row r="66" spans="1:10" ht="15" thickBot="1" x14ac:dyDescent="0.4">
      <c r="A66" s="4" t="s">
        <v>524</v>
      </c>
      <c r="B66" s="4" t="s">
        <v>525</v>
      </c>
      <c r="C66" s="4" t="s">
        <v>439</v>
      </c>
      <c r="D66" s="4" t="s">
        <v>46</v>
      </c>
      <c r="E66" s="5">
        <v>1.41</v>
      </c>
      <c r="F66" s="5">
        <v>280.58</v>
      </c>
      <c r="G66" s="6">
        <v>11095.62</v>
      </c>
      <c r="H66" s="6">
        <v>554.78</v>
      </c>
      <c r="I66" s="4">
        <v>0.51</v>
      </c>
      <c r="J66" s="4">
        <f t="shared" si="0"/>
        <v>11376.199999999999</v>
      </c>
    </row>
    <row r="67" spans="1:10" ht="15" thickBot="1" x14ac:dyDescent="0.4">
      <c r="A67" s="4" t="s">
        <v>524</v>
      </c>
      <c r="B67" s="4" t="s">
        <v>402</v>
      </c>
      <c r="C67" s="4" t="s">
        <v>439</v>
      </c>
      <c r="D67" s="4" t="s">
        <v>46</v>
      </c>
      <c r="E67" s="5">
        <v>1.41</v>
      </c>
      <c r="F67" s="5">
        <v>0</v>
      </c>
      <c r="G67" s="6">
        <v>11376.2</v>
      </c>
      <c r="H67" s="6">
        <v>568.80999999999995</v>
      </c>
      <c r="I67" s="4" t="s">
        <v>289</v>
      </c>
      <c r="J67" s="4">
        <f t="shared" si="0"/>
        <v>11376.199999999999</v>
      </c>
    </row>
    <row r="68" spans="1:10" ht="15" thickBot="1" x14ac:dyDescent="0.4">
      <c r="A68" s="4" t="s">
        <v>526</v>
      </c>
      <c r="B68" s="4" t="s">
        <v>527</v>
      </c>
      <c r="C68" s="4" t="s">
        <v>438</v>
      </c>
      <c r="D68" s="4" t="s">
        <v>12</v>
      </c>
      <c r="E68" s="5">
        <v>0.91</v>
      </c>
      <c r="F68" s="5">
        <v>-17.010000000000002</v>
      </c>
      <c r="G68" s="6">
        <v>11376.2</v>
      </c>
      <c r="H68" s="6">
        <v>568.80999999999995</v>
      </c>
      <c r="I68" s="5">
        <v>-0.03</v>
      </c>
      <c r="J68" s="4">
        <f t="shared" ref="J68:J87" si="1">J67+F68</f>
        <v>11359.189999999999</v>
      </c>
    </row>
    <row r="69" spans="1:10" ht="15" thickBot="1" x14ac:dyDescent="0.4">
      <c r="A69" s="4" t="s">
        <v>526</v>
      </c>
      <c r="B69" s="4" t="s">
        <v>527</v>
      </c>
      <c r="C69" s="4" t="s">
        <v>438</v>
      </c>
      <c r="D69" s="4" t="s">
        <v>12</v>
      </c>
      <c r="E69" s="5">
        <v>0.91</v>
      </c>
      <c r="F69" s="5">
        <v>-17.010000000000002</v>
      </c>
      <c r="G69" s="6">
        <v>11359.19</v>
      </c>
      <c r="H69" s="6">
        <v>567.96</v>
      </c>
      <c r="I69" s="5">
        <v>-0.03</v>
      </c>
      <c r="J69" s="4">
        <f t="shared" si="1"/>
        <v>11342.179999999998</v>
      </c>
    </row>
    <row r="70" spans="1:10" ht="15" thickBot="1" x14ac:dyDescent="0.4">
      <c r="A70" s="4" t="s">
        <v>528</v>
      </c>
      <c r="B70" s="4" t="s">
        <v>529</v>
      </c>
      <c r="C70" s="4" t="s">
        <v>441</v>
      </c>
      <c r="D70" s="4" t="s">
        <v>76</v>
      </c>
      <c r="E70" s="5">
        <v>7.0000000000000007E-2</v>
      </c>
      <c r="F70" s="5">
        <v>-57.14</v>
      </c>
      <c r="G70" s="6">
        <v>11342.18</v>
      </c>
      <c r="H70" s="6">
        <v>567.11</v>
      </c>
      <c r="I70" s="5">
        <v>-0.1</v>
      </c>
      <c r="J70" s="4">
        <f t="shared" si="1"/>
        <v>11285.039999999999</v>
      </c>
    </row>
    <row r="71" spans="1:10" ht="15" thickBot="1" x14ac:dyDescent="0.4">
      <c r="A71" s="4" t="s">
        <v>528</v>
      </c>
      <c r="B71" s="4" t="s">
        <v>529</v>
      </c>
      <c r="C71" s="4" t="s">
        <v>441</v>
      </c>
      <c r="D71" s="4" t="s">
        <v>76</v>
      </c>
      <c r="E71" s="5">
        <v>7.0000000000000007E-2</v>
      </c>
      <c r="F71" s="5">
        <v>-57.14</v>
      </c>
      <c r="G71" s="6">
        <v>11285.04</v>
      </c>
      <c r="H71" s="6">
        <v>564.25</v>
      </c>
      <c r="I71" s="5">
        <v>-0.1</v>
      </c>
      <c r="J71" s="4">
        <f t="shared" si="1"/>
        <v>11227.9</v>
      </c>
    </row>
    <row r="72" spans="1:10" ht="15" thickBot="1" x14ac:dyDescent="0.4">
      <c r="A72" s="4" t="s">
        <v>530</v>
      </c>
      <c r="B72" s="4" t="s">
        <v>531</v>
      </c>
      <c r="C72" s="4" t="s">
        <v>439</v>
      </c>
      <c r="D72" s="4" t="s">
        <v>46</v>
      </c>
      <c r="E72" s="5">
        <v>3.58</v>
      </c>
      <c r="F72" s="5">
        <v>-608.87</v>
      </c>
      <c r="G72" s="6">
        <v>11227.9</v>
      </c>
      <c r="H72" s="6">
        <v>561.4</v>
      </c>
      <c r="I72" s="5">
        <v>-1.08</v>
      </c>
      <c r="J72" s="4">
        <f t="shared" si="1"/>
        <v>10619.029999999999</v>
      </c>
    </row>
    <row r="73" spans="1:10" ht="15" thickBot="1" x14ac:dyDescent="0.4">
      <c r="A73" s="4" t="s">
        <v>530</v>
      </c>
      <c r="B73" s="4" t="s">
        <v>531</v>
      </c>
      <c r="C73" s="4" t="s">
        <v>439</v>
      </c>
      <c r="D73" s="4" t="s">
        <v>46</v>
      </c>
      <c r="E73" s="5">
        <v>3.58</v>
      </c>
      <c r="F73" s="5">
        <v>-608.87</v>
      </c>
      <c r="G73" s="6">
        <v>10619.03</v>
      </c>
      <c r="H73" s="6">
        <v>530.95000000000005</v>
      </c>
      <c r="I73" s="5">
        <v>-1.1499999999999999</v>
      </c>
      <c r="J73" s="4">
        <f t="shared" si="1"/>
        <v>10010.159999999998</v>
      </c>
    </row>
    <row r="74" spans="1:10" ht="15" thickBot="1" x14ac:dyDescent="0.4">
      <c r="A74" s="4" t="s">
        <v>532</v>
      </c>
      <c r="B74" s="4" t="s">
        <v>533</v>
      </c>
      <c r="C74" s="4" t="s">
        <v>442</v>
      </c>
      <c r="D74" s="4" t="s">
        <v>42</v>
      </c>
      <c r="E74" s="5">
        <v>1.33</v>
      </c>
      <c r="F74" s="5">
        <v>-138.30000000000001</v>
      </c>
      <c r="G74" s="6">
        <v>10010.16</v>
      </c>
      <c r="H74" s="6">
        <v>500.51</v>
      </c>
      <c r="I74" s="5">
        <v>-0.28000000000000003</v>
      </c>
      <c r="J74" s="4">
        <f t="shared" si="1"/>
        <v>9871.8599999999988</v>
      </c>
    </row>
    <row r="75" spans="1:10" ht="15" thickBot="1" x14ac:dyDescent="0.4">
      <c r="A75" s="4" t="s">
        <v>532</v>
      </c>
      <c r="B75" s="4" t="s">
        <v>533</v>
      </c>
      <c r="C75" s="4" t="s">
        <v>442</v>
      </c>
      <c r="D75" s="4" t="s">
        <v>42</v>
      </c>
      <c r="E75" s="5">
        <v>1.33</v>
      </c>
      <c r="F75" s="5">
        <v>-138.5</v>
      </c>
      <c r="G75" s="6">
        <v>9871.86</v>
      </c>
      <c r="H75" s="6">
        <v>493.59</v>
      </c>
      <c r="I75" s="5">
        <v>-0.28000000000000003</v>
      </c>
      <c r="J75" s="4">
        <f t="shared" si="1"/>
        <v>9733.3599999999988</v>
      </c>
    </row>
    <row r="76" spans="1:10" ht="15" thickBot="1" x14ac:dyDescent="0.4">
      <c r="A76" s="4" t="s">
        <v>534</v>
      </c>
      <c r="B76" s="4" t="s">
        <v>535</v>
      </c>
      <c r="C76" s="4" t="s">
        <v>439</v>
      </c>
      <c r="D76" s="4" t="s">
        <v>46</v>
      </c>
      <c r="E76" s="5">
        <v>1.89</v>
      </c>
      <c r="F76" s="5">
        <v>0</v>
      </c>
      <c r="G76" s="6">
        <v>9733.36</v>
      </c>
      <c r="H76" s="6">
        <v>486.67</v>
      </c>
      <c r="I76" s="4" t="s">
        <v>289</v>
      </c>
      <c r="J76" s="4">
        <f t="shared" si="1"/>
        <v>9733.3599999999988</v>
      </c>
    </row>
    <row r="77" spans="1:10" ht="15" thickBot="1" x14ac:dyDescent="0.4">
      <c r="A77" s="4" t="s">
        <v>534</v>
      </c>
      <c r="B77" s="4" t="s">
        <v>535</v>
      </c>
      <c r="C77" s="4" t="s">
        <v>439</v>
      </c>
      <c r="D77" s="4" t="s">
        <v>46</v>
      </c>
      <c r="E77" s="5">
        <v>1.89</v>
      </c>
      <c r="F77" s="5">
        <v>0</v>
      </c>
      <c r="G77" s="6">
        <v>9733.36</v>
      </c>
      <c r="H77" s="6">
        <v>486.67</v>
      </c>
      <c r="I77" s="4" t="s">
        <v>289</v>
      </c>
      <c r="J77" s="4">
        <f t="shared" si="1"/>
        <v>9733.3599999999988</v>
      </c>
    </row>
    <row r="78" spans="1:10" ht="15" thickBot="1" x14ac:dyDescent="0.4">
      <c r="A78" s="4" t="s">
        <v>536</v>
      </c>
      <c r="B78" s="4" t="s">
        <v>537</v>
      </c>
      <c r="C78" s="4" t="s">
        <v>439</v>
      </c>
      <c r="D78" s="4" t="s">
        <v>46</v>
      </c>
      <c r="E78" s="5">
        <v>2.29</v>
      </c>
      <c r="F78" s="5">
        <v>-305.02</v>
      </c>
      <c r="G78" s="6">
        <v>9733.36</v>
      </c>
      <c r="H78" s="6">
        <v>486.67</v>
      </c>
      <c r="I78" s="5">
        <v>-0.63</v>
      </c>
      <c r="J78" s="4">
        <f t="shared" si="1"/>
        <v>9428.3399999999983</v>
      </c>
    </row>
    <row r="79" spans="1:10" ht="15" thickBot="1" x14ac:dyDescent="0.4">
      <c r="A79" s="4" t="s">
        <v>536</v>
      </c>
      <c r="B79" s="4" t="s">
        <v>537</v>
      </c>
      <c r="C79" s="4" t="s">
        <v>439</v>
      </c>
      <c r="D79" s="4" t="s">
        <v>46</v>
      </c>
      <c r="E79" s="5">
        <v>2.29</v>
      </c>
      <c r="F79" s="5">
        <v>-305.02</v>
      </c>
      <c r="G79" s="6">
        <v>9428.34</v>
      </c>
      <c r="H79" s="6">
        <v>471.42</v>
      </c>
      <c r="I79" s="5">
        <v>-0.65</v>
      </c>
      <c r="J79" s="4">
        <f t="shared" si="1"/>
        <v>9123.3199999999979</v>
      </c>
    </row>
    <row r="80" spans="1:10" ht="15" thickBot="1" x14ac:dyDescent="0.4">
      <c r="A80" s="4" t="s">
        <v>538</v>
      </c>
      <c r="B80" s="4" t="s">
        <v>539</v>
      </c>
      <c r="C80" s="4" t="s">
        <v>442</v>
      </c>
      <c r="D80" s="4" t="s">
        <v>42</v>
      </c>
      <c r="E80" s="5">
        <v>1.52</v>
      </c>
      <c r="F80" s="5">
        <v>-523.16</v>
      </c>
      <c r="G80" s="6">
        <v>9123.32</v>
      </c>
      <c r="H80" s="6">
        <v>456.17</v>
      </c>
      <c r="I80" s="5">
        <v>-1.1499999999999999</v>
      </c>
      <c r="J80" s="4">
        <f t="shared" si="1"/>
        <v>8600.159999999998</v>
      </c>
    </row>
    <row r="81" spans="1:10" ht="15" thickBot="1" x14ac:dyDescent="0.4">
      <c r="A81" s="4" t="s">
        <v>538</v>
      </c>
      <c r="B81" s="4" t="s">
        <v>539</v>
      </c>
      <c r="C81" s="4" t="s">
        <v>442</v>
      </c>
      <c r="D81" s="4" t="s">
        <v>42</v>
      </c>
      <c r="E81" s="5">
        <v>1.52</v>
      </c>
      <c r="F81" s="5">
        <v>-519.34</v>
      </c>
      <c r="G81" s="6">
        <v>8600.16</v>
      </c>
      <c r="H81" s="6">
        <v>430.01</v>
      </c>
      <c r="I81" s="5">
        <v>-1.21</v>
      </c>
      <c r="J81" s="4">
        <f t="shared" si="1"/>
        <v>8080.8199999999979</v>
      </c>
    </row>
    <row r="82" spans="1:10" ht="15" thickBot="1" x14ac:dyDescent="0.4">
      <c r="A82" s="4" t="s">
        <v>540</v>
      </c>
      <c r="B82" s="4" t="s">
        <v>422</v>
      </c>
      <c r="C82" s="4" t="s">
        <v>441</v>
      </c>
      <c r="D82" s="4" t="s">
        <v>76</v>
      </c>
      <c r="E82" s="5">
        <v>0.08</v>
      </c>
      <c r="F82" s="5">
        <v>-438.57</v>
      </c>
      <c r="G82" s="6">
        <v>8080.82</v>
      </c>
      <c r="H82" s="6">
        <v>404.04</v>
      </c>
      <c r="I82" s="5">
        <v>-1.0900000000000001</v>
      </c>
      <c r="J82" s="4">
        <f t="shared" si="1"/>
        <v>7642.2499999999982</v>
      </c>
    </row>
    <row r="83" spans="1:10" ht="15" thickBot="1" x14ac:dyDescent="0.4">
      <c r="A83" s="4" t="s">
        <v>540</v>
      </c>
      <c r="B83" s="4" t="s">
        <v>422</v>
      </c>
      <c r="C83" s="4" t="s">
        <v>441</v>
      </c>
      <c r="D83" s="4" t="s">
        <v>76</v>
      </c>
      <c r="E83" s="5">
        <v>0.08</v>
      </c>
      <c r="F83" s="5">
        <v>-438.57</v>
      </c>
      <c r="G83" s="6">
        <v>7642.25</v>
      </c>
      <c r="H83" s="6">
        <v>382.11</v>
      </c>
      <c r="I83" s="5">
        <v>-1.1499999999999999</v>
      </c>
      <c r="J83" s="4">
        <f t="shared" si="1"/>
        <v>7203.6799999999985</v>
      </c>
    </row>
    <row r="84" spans="1:10" ht="15" thickBot="1" x14ac:dyDescent="0.4">
      <c r="A84" s="4" t="s">
        <v>541</v>
      </c>
      <c r="B84" s="4" t="s">
        <v>542</v>
      </c>
      <c r="C84" s="4" t="s">
        <v>442</v>
      </c>
      <c r="D84" s="4" t="s">
        <v>42</v>
      </c>
      <c r="E84" s="5">
        <v>1.49</v>
      </c>
      <c r="F84" s="5">
        <v>-0.77</v>
      </c>
      <c r="G84" s="6">
        <v>7203.68</v>
      </c>
      <c r="H84" s="6">
        <v>360.18</v>
      </c>
      <c r="I84" s="4" t="s">
        <v>289</v>
      </c>
      <c r="J84" s="4">
        <f t="shared" si="1"/>
        <v>7202.909999999998</v>
      </c>
    </row>
    <row r="85" spans="1:10" ht="15" thickBot="1" x14ac:dyDescent="0.4">
      <c r="A85" s="4" t="s">
        <v>541</v>
      </c>
      <c r="B85" s="4" t="s">
        <v>542</v>
      </c>
      <c r="C85" s="4" t="s">
        <v>442</v>
      </c>
      <c r="D85" s="4" t="s">
        <v>42</v>
      </c>
      <c r="E85" s="5">
        <v>1.49</v>
      </c>
      <c r="F85" s="5">
        <v>-1.67</v>
      </c>
      <c r="G85" s="6">
        <v>7202.91</v>
      </c>
      <c r="H85" s="6">
        <v>360.15</v>
      </c>
      <c r="I85" s="4" t="s">
        <v>289</v>
      </c>
      <c r="J85" s="4">
        <f t="shared" si="1"/>
        <v>7201.239999999998</v>
      </c>
    </row>
    <row r="86" spans="1:10" ht="15" thickBot="1" x14ac:dyDescent="0.4">
      <c r="A86" s="4" t="s">
        <v>543</v>
      </c>
      <c r="B86" s="4" t="s">
        <v>544</v>
      </c>
      <c r="C86" s="4" t="s">
        <v>438</v>
      </c>
      <c r="D86" s="4" t="s">
        <v>12</v>
      </c>
      <c r="E86" s="5">
        <v>0.19</v>
      </c>
      <c r="F86" s="5">
        <v>-409.82</v>
      </c>
      <c r="G86" s="6">
        <v>7201.24</v>
      </c>
      <c r="H86" s="6">
        <v>360.06</v>
      </c>
      <c r="I86" s="5">
        <v>-1.1399999999999999</v>
      </c>
      <c r="J86" s="4">
        <f t="shared" si="1"/>
        <v>6791.4199999999983</v>
      </c>
    </row>
    <row r="87" spans="1:10" ht="15" thickBot="1" x14ac:dyDescent="0.4">
      <c r="A87" s="4" t="s">
        <v>543</v>
      </c>
      <c r="B87" s="4" t="s">
        <v>544</v>
      </c>
      <c r="C87" s="4" t="s">
        <v>438</v>
      </c>
      <c r="D87" s="4" t="s">
        <v>12</v>
      </c>
      <c r="E87" s="5">
        <v>0.19</v>
      </c>
      <c r="F87" s="5">
        <v>-409.82</v>
      </c>
      <c r="G87" s="6">
        <v>6791.42</v>
      </c>
      <c r="H87" s="6">
        <v>339.57</v>
      </c>
      <c r="I87" s="5" cm="1">
        <f t="array" aca="1" ref="I87" ca="1">-1+_FV(I2:I87,"21")</f>
        <v>0</v>
      </c>
      <c r="J87" s="4">
        <f t="shared" si="1"/>
        <v>6381.5999999999985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07DD-C959-41F2-991A-1D554007B32A}">
  <dimension ref="A1:K126"/>
  <sheetViews>
    <sheetView workbookViewId="0">
      <selection activeCell="H1" sqref="H1:K1"/>
    </sheetView>
  </sheetViews>
  <sheetFormatPr defaultRowHeight="14.5" x14ac:dyDescent="0.35"/>
  <cols>
    <col min="1" max="1" width="18.81640625" customWidth="1"/>
    <col min="2" max="2" width="21.90625" customWidth="1"/>
    <col min="3" max="3" width="17.08984375" customWidth="1"/>
    <col min="4" max="4" width="17.54296875" customWidth="1"/>
  </cols>
  <sheetData>
    <row r="1" spans="1:11" ht="15" thickBot="1" x14ac:dyDescent="0.4">
      <c r="A1" t="s">
        <v>435</v>
      </c>
      <c r="B1" t="s">
        <v>436</v>
      </c>
      <c r="C1" t="s">
        <v>437</v>
      </c>
      <c r="D1" t="s">
        <v>2</v>
      </c>
      <c r="E1" t="s">
        <v>287</v>
      </c>
      <c r="F1" t="s">
        <v>288</v>
      </c>
      <c r="G1" t="s">
        <v>432</v>
      </c>
      <c r="H1" t="s">
        <v>547</v>
      </c>
      <c r="I1" t="s">
        <v>546</v>
      </c>
      <c r="J1" t="s">
        <v>434</v>
      </c>
      <c r="K1" t="s">
        <v>548</v>
      </c>
    </row>
    <row r="2" spans="1:11" ht="15" thickBot="1" x14ac:dyDescent="0.4">
      <c r="A2" t="s">
        <v>290</v>
      </c>
      <c r="B2" t="s">
        <v>291</v>
      </c>
      <c r="C2" t="s">
        <v>438</v>
      </c>
      <c r="D2" t="s">
        <v>12</v>
      </c>
      <c r="E2">
        <v>0.83</v>
      </c>
      <c r="F2">
        <v>60.472999999999999</v>
      </c>
      <c r="G2">
        <v>60.243000000000002</v>
      </c>
      <c r="H2">
        <v>-148.37</v>
      </c>
      <c r="I2">
        <v>173.47</v>
      </c>
      <c r="J2" s="7">
        <f>H2/I2</f>
        <v>-0.85530639303625988</v>
      </c>
      <c r="K2" s="4">
        <f>2700+H2</f>
        <v>2551.63</v>
      </c>
    </row>
    <row r="3" spans="1:11" ht="15" thickBot="1" x14ac:dyDescent="0.4">
      <c r="A3" t="s">
        <v>290</v>
      </c>
      <c r="B3" t="s">
        <v>291</v>
      </c>
      <c r="C3" t="s">
        <v>438</v>
      </c>
      <c r="D3" t="s">
        <v>12</v>
      </c>
      <c r="E3">
        <v>0.83</v>
      </c>
      <c r="F3">
        <v>60.472999999999999</v>
      </c>
      <c r="G3">
        <v>60.243000000000002</v>
      </c>
      <c r="H3">
        <v>-148.37</v>
      </c>
      <c r="I3">
        <v>163.94</v>
      </c>
      <c r="J3" s="7">
        <f t="shared" ref="J3:J66" si="0">H3/I3</f>
        <v>-0.9050262291082104</v>
      </c>
      <c r="K3" s="4">
        <f>K2+H3</f>
        <v>2403.2600000000002</v>
      </c>
    </row>
    <row r="4" spans="1:11" ht="15" thickBot="1" x14ac:dyDescent="0.4">
      <c r="A4" t="s">
        <v>292</v>
      </c>
      <c r="B4" t="s">
        <v>293</v>
      </c>
      <c r="C4" t="s">
        <v>439</v>
      </c>
      <c r="D4" t="s">
        <v>46</v>
      </c>
      <c r="E4">
        <v>1.1399999999999999</v>
      </c>
      <c r="F4">
        <v>1.15255</v>
      </c>
      <c r="G4">
        <v>1.1511800000000001</v>
      </c>
      <c r="H4">
        <v>-121.97</v>
      </c>
      <c r="I4">
        <v>154.41</v>
      </c>
      <c r="J4" s="7">
        <f t="shared" si="0"/>
        <v>-0.78990997992358014</v>
      </c>
      <c r="K4" s="4">
        <f t="shared" ref="K4:K67" si="1">K3+H4</f>
        <v>2281.2900000000004</v>
      </c>
    </row>
    <row r="5" spans="1:11" ht="15" thickBot="1" x14ac:dyDescent="0.4">
      <c r="A5" t="s">
        <v>292</v>
      </c>
      <c r="B5" t="s">
        <v>293</v>
      </c>
      <c r="C5" t="s">
        <v>439</v>
      </c>
      <c r="D5" t="s">
        <v>46</v>
      </c>
      <c r="E5">
        <v>1.1399999999999999</v>
      </c>
      <c r="F5">
        <v>1.15255</v>
      </c>
      <c r="G5">
        <v>1.1511800000000001</v>
      </c>
      <c r="H5">
        <v>-121.97</v>
      </c>
      <c r="I5">
        <v>146.57</v>
      </c>
      <c r="J5" s="7">
        <f t="shared" si="0"/>
        <v>-0.83216210684314662</v>
      </c>
      <c r="K5" s="4">
        <f t="shared" si="1"/>
        <v>2159.3200000000006</v>
      </c>
    </row>
    <row r="6" spans="1:11" ht="15" thickBot="1" x14ac:dyDescent="0.4">
      <c r="A6" t="s">
        <v>294</v>
      </c>
      <c r="B6" t="s">
        <v>295</v>
      </c>
      <c r="C6" t="s">
        <v>439</v>
      </c>
      <c r="D6" t="s">
        <v>46</v>
      </c>
      <c r="E6">
        <v>0.93</v>
      </c>
      <c r="F6">
        <v>1.1530100000000001</v>
      </c>
      <c r="G6">
        <v>1.15229</v>
      </c>
      <c r="H6">
        <v>-52.31</v>
      </c>
      <c r="I6">
        <v>138.74</v>
      </c>
      <c r="J6" s="7">
        <f t="shared" si="0"/>
        <v>-0.37703618278794865</v>
      </c>
      <c r="K6" s="4">
        <f t="shared" si="1"/>
        <v>2107.0100000000007</v>
      </c>
    </row>
    <row r="7" spans="1:11" ht="15" thickBot="1" x14ac:dyDescent="0.4">
      <c r="A7" t="s">
        <v>294</v>
      </c>
      <c r="B7" t="s">
        <v>295</v>
      </c>
      <c r="C7" t="s">
        <v>439</v>
      </c>
      <c r="D7" t="s">
        <v>46</v>
      </c>
      <c r="E7">
        <v>0.93</v>
      </c>
      <c r="F7">
        <v>1.1530100000000001</v>
      </c>
      <c r="G7">
        <v>1.15229</v>
      </c>
      <c r="H7">
        <v>-52.31</v>
      </c>
      <c r="I7">
        <v>135.38</v>
      </c>
      <c r="J7" s="7">
        <f t="shared" si="0"/>
        <v>-0.38639385433594331</v>
      </c>
      <c r="K7" s="4">
        <f t="shared" si="1"/>
        <v>2054.7000000000007</v>
      </c>
    </row>
    <row r="8" spans="1:11" ht="15" thickBot="1" x14ac:dyDescent="0.4">
      <c r="A8" t="s">
        <v>296</v>
      </c>
      <c r="B8" t="s">
        <v>297</v>
      </c>
      <c r="C8" t="s">
        <v>439</v>
      </c>
      <c r="D8" t="s">
        <v>46</v>
      </c>
      <c r="E8">
        <v>0.48</v>
      </c>
      <c r="F8">
        <v>1.1523399999999999</v>
      </c>
      <c r="G8">
        <v>1.1495899999999999</v>
      </c>
      <c r="H8">
        <v>-102.96</v>
      </c>
      <c r="I8">
        <v>132.01</v>
      </c>
      <c r="J8" s="7">
        <f t="shared" si="0"/>
        <v>-0.779940913567154</v>
      </c>
      <c r="K8" s="4">
        <f t="shared" si="1"/>
        <v>1951.7400000000007</v>
      </c>
    </row>
    <row r="9" spans="1:11" ht="15" thickBot="1" x14ac:dyDescent="0.4">
      <c r="A9" t="s">
        <v>296</v>
      </c>
      <c r="B9" t="s">
        <v>297</v>
      </c>
      <c r="C9" t="s">
        <v>439</v>
      </c>
      <c r="D9" t="s">
        <v>46</v>
      </c>
      <c r="E9">
        <v>0.48</v>
      </c>
      <c r="F9">
        <v>1.1523399999999999</v>
      </c>
      <c r="G9">
        <v>1.1495899999999999</v>
      </c>
      <c r="H9">
        <v>-102.96</v>
      </c>
      <c r="I9">
        <v>125.4</v>
      </c>
      <c r="J9" s="7">
        <f t="shared" si="0"/>
        <v>-0.82105263157894726</v>
      </c>
      <c r="K9" s="4">
        <f t="shared" si="1"/>
        <v>1848.7800000000007</v>
      </c>
    </row>
    <row r="10" spans="1:11" ht="15" thickBot="1" x14ac:dyDescent="0.4">
      <c r="A10" t="s">
        <v>298</v>
      </c>
      <c r="B10" t="s">
        <v>300</v>
      </c>
      <c r="C10" t="s">
        <v>438</v>
      </c>
      <c r="D10" t="s">
        <v>12</v>
      </c>
      <c r="E10">
        <v>0.49</v>
      </c>
      <c r="F10">
        <v>57.942999999999998</v>
      </c>
      <c r="G10">
        <v>57.456000000000003</v>
      </c>
      <c r="H10">
        <v>178.59</v>
      </c>
      <c r="I10">
        <v>118.78</v>
      </c>
      <c r="J10" s="7">
        <f t="shared" si="0"/>
        <v>1.5035359488129314</v>
      </c>
      <c r="K10" s="4">
        <f t="shared" si="1"/>
        <v>2027.3700000000006</v>
      </c>
    </row>
    <row r="11" spans="1:11" ht="15" thickBot="1" x14ac:dyDescent="0.4">
      <c r="A11" t="s">
        <v>298</v>
      </c>
      <c r="B11" t="s">
        <v>299</v>
      </c>
      <c r="C11" t="s">
        <v>438</v>
      </c>
      <c r="D11" t="s">
        <v>12</v>
      </c>
      <c r="E11">
        <v>0.49</v>
      </c>
      <c r="F11">
        <v>57.938000000000002</v>
      </c>
      <c r="G11">
        <v>57.938000000000002</v>
      </c>
      <c r="H11">
        <v>0</v>
      </c>
      <c r="I11">
        <v>130.26</v>
      </c>
      <c r="J11" s="7">
        <f t="shared" si="0"/>
        <v>0</v>
      </c>
      <c r="K11" s="4">
        <f t="shared" si="1"/>
        <v>2027.3700000000006</v>
      </c>
    </row>
    <row r="12" spans="1:11" ht="15" thickBot="1" x14ac:dyDescent="0.4">
      <c r="A12" t="s">
        <v>301</v>
      </c>
      <c r="B12" t="s">
        <v>302</v>
      </c>
      <c r="C12" t="s">
        <v>439</v>
      </c>
      <c r="D12" t="s">
        <v>46</v>
      </c>
      <c r="E12">
        <v>0.65</v>
      </c>
      <c r="F12">
        <v>1.1530800000000001</v>
      </c>
      <c r="G12">
        <v>1.15761</v>
      </c>
      <c r="H12">
        <v>218.53</v>
      </c>
      <c r="I12">
        <v>130.26</v>
      </c>
      <c r="J12" s="7">
        <f t="shared" si="0"/>
        <v>1.6776447105788423</v>
      </c>
      <c r="K12" s="4">
        <f t="shared" si="1"/>
        <v>2245.9000000000005</v>
      </c>
    </row>
    <row r="13" spans="1:11" ht="15" thickBot="1" x14ac:dyDescent="0.4">
      <c r="A13" t="s">
        <v>310</v>
      </c>
      <c r="B13" t="s">
        <v>311</v>
      </c>
      <c r="C13" t="s">
        <v>441</v>
      </c>
      <c r="D13" t="s">
        <v>76</v>
      </c>
      <c r="E13">
        <v>0.1</v>
      </c>
      <c r="F13">
        <v>4157.29</v>
      </c>
      <c r="G13">
        <v>4167.2</v>
      </c>
      <c r="H13">
        <v>-74.84</v>
      </c>
      <c r="I13">
        <v>144.30000000000001</v>
      </c>
      <c r="J13" s="7">
        <f t="shared" si="0"/>
        <v>-0.5186417186417186</v>
      </c>
      <c r="K13" s="4">
        <f t="shared" si="1"/>
        <v>2171.0600000000004</v>
      </c>
    </row>
    <row r="14" spans="1:11" ht="15" thickBot="1" x14ac:dyDescent="0.4">
      <c r="A14" t="s">
        <v>310</v>
      </c>
      <c r="B14" t="s">
        <v>311</v>
      </c>
      <c r="C14" t="s">
        <v>441</v>
      </c>
      <c r="D14" t="s">
        <v>76</v>
      </c>
      <c r="E14">
        <v>0.1</v>
      </c>
      <c r="F14">
        <v>4157.28</v>
      </c>
      <c r="G14">
        <v>4167.2</v>
      </c>
      <c r="H14">
        <v>-74.92</v>
      </c>
      <c r="I14">
        <v>139.49</v>
      </c>
      <c r="J14" s="7">
        <f t="shared" si="0"/>
        <v>-0.53709943365115775</v>
      </c>
      <c r="K14" s="4">
        <f t="shared" si="1"/>
        <v>2096.1400000000003</v>
      </c>
    </row>
    <row r="15" spans="1:11" ht="15" thickBot="1" x14ac:dyDescent="0.4">
      <c r="A15" t="s">
        <v>304</v>
      </c>
      <c r="B15" t="s">
        <v>305</v>
      </c>
      <c r="C15" t="s">
        <v>440</v>
      </c>
      <c r="D15" t="s">
        <v>16</v>
      </c>
      <c r="E15">
        <v>0.69</v>
      </c>
      <c r="F15">
        <v>1.4102699999999999</v>
      </c>
      <c r="G15">
        <v>1.40503</v>
      </c>
      <c r="H15">
        <v>190.94</v>
      </c>
      <c r="I15">
        <v>134.68</v>
      </c>
      <c r="J15" s="7">
        <f t="shared" si="0"/>
        <v>1.4177309177309176</v>
      </c>
      <c r="K15" s="4">
        <f t="shared" si="1"/>
        <v>2287.0800000000004</v>
      </c>
    </row>
    <row r="16" spans="1:11" ht="15" thickBot="1" x14ac:dyDescent="0.4">
      <c r="A16" t="s">
        <v>307</v>
      </c>
      <c r="B16" t="s">
        <v>309</v>
      </c>
      <c r="C16" t="s">
        <v>438</v>
      </c>
      <c r="D16" t="s">
        <v>12</v>
      </c>
      <c r="E16">
        <v>0.35</v>
      </c>
      <c r="F16">
        <v>58.018000000000001</v>
      </c>
      <c r="G16">
        <v>58.658000000000001</v>
      </c>
      <c r="H16">
        <v>165.78</v>
      </c>
      <c r="I16">
        <v>146.94</v>
      </c>
      <c r="J16" s="7">
        <f t="shared" si="0"/>
        <v>1.1282155982033484</v>
      </c>
      <c r="K16" s="4">
        <f t="shared" si="1"/>
        <v>2452.8600000000006</v>
      </c>
    </row>
    <row r="17" spans="1:11" ht="15" thickBot="1" x14ac:dyDescent="0.4">
      <c r="A17" t="s">
        <v>312</v>
      </c>
      <c r="B17" t="s">
        <v>313</v>
      </c>
      <c r="C17" t="s">
        <v>442</v>
      </c>
      <c r="D17" t="s">
        <v>42</v>
      </c>
      <c r="E17">
        <v>1.6</v>
      </c>
      <c r="F17">
        <v>6804.97</v>
      </c>
      <c r="G17">
        <v>6805.07</v>
      </c>
      <c r="H17">
        <v>-1.21</v>
      </c>
      <c r="I17">
        <v>157.6</v>
      </c>
      <c r="J17" s="7">
        <f t="shared" si="0"/>
        <v>-7.6776649746192896E-3</v>
      </c>
      <c r="K17" s="4">
        <f t="shared" si="1"/>
        <v>2451.6500000000005</v>
      </c>
    </row>
    <row r="18" spans="1:11" ht="15" thickBot="1" x14ac:dyDescent="0.4">
      <c r="A18" t="s">
        <v>312</v>
      </c>
      <c r="B18" t="s">
        <v>313</v>
      </c>
      <c r="C18" t="s">
        <v>442</v>
      </c>
      <c r="D18" t="s">
        <v>42</v>
      </c>
      <c r="E18">
        <v>1.6</v>
      </c>
      <c r="F18">
        <v>6804.97</v>
      </c>
      <c r="G18">
        <v>6805.07</v>
      </c>
      <c r="H18">
        <v>-1.21</v>
      </c>
      <c r="I18">
        <v>157.52000000000001</v>
      </c>
      <c r="J18" s="7">
        <f t="shared" si="0"/>
        <v>-7.6815642458100556E-3</v>
      </c>
      <c r="K18" s="4">
        <f t="shared" si="1"/>
        <v>2450.4400000000005</v>
      </c>
    </row>
    <row r="19" spans="1:11" ht="15" thickBot="1" x14ac:dyDescent="0.4">
      <c r="A19" t="s">
        <v>314</v>
      </c>
      <c r="B19" t="s">
        <v>315</v>
      </c>
      <c r="C19" t="s">
        <v>442</v>
      </c>
      <c r="D19" t="s">
        <v>42</v>
      </c>
      <c r="E19">
        <v>2.15</v>
      </c>
      <c r="F19">
        <v>6834.15</v>
      </c>
      <c r="G19">
        <v>6844.32</v>
      </c>
      <c r="H19">
        <v>-164.87</v>
      </c>
      <c r="I19">
        <v>157.44</v>
      </c>
      <c r="J19" s="7">
        <f t="shared" si="0"/>
        <v>-1.0471925813008129</v>
      </c>
      <c r="K19" s="4">
        <f t="shared" si="1"/>
        <v>2285.5700000000006</v>
      </c>
    </row>
    <row r="20" spans="1:11" ht="15" thickBot="1" x14ac:dyDescent="0.4">
      <c r="A20" t="s">
        <v>314</v>
      </c>
      <c r="B20" t="s">
        <v>315</v>
      </c>
      <c r="C20" t="s">
        <v>442</v>
      </c>
      <c r="D20" t="s">
        <v>42</v>
      </c>
      <c r="E20">
        <v>2.15</v>
      </c>
      <c r="F20">
        <v>6834.1</v>
      </c>
      <c r="G20">
        <v>6844.32</v>
      </c>
      <c r="H20">
        <v>-165.68</v>
      </c>
      <c r="I20">
        <v>146.85</v>
      </c>
      <c r="J20" s="7">
        <f t="shared" si="0"/>
        <v>-1.1282260810350699</v>
      </c>
      <c r="K20" s="4">
        <f t="shared" si="1"/>
        <v>2119.8900000000008</v>
      </c>
    </row>
    <row r="21" spans="1:11" ht="15" thickBot="1" x14ac:dyDescent="0.4">
      <c r="A21" t="s">
        <v>304</v>
      </c>
      <c r="B21" t="s">
        <v>306</v>
      </c>
      <c r="C21" t="s">
        <v>440</v>
      </c>
      <c r="D21" t="s">
        <v>16</v>
      </c>
      <c r="E21">
        <v>0.69</v>
      </c>
      <c r="F21">
        <v>1.4102699999999999</v>
      </c>
      <c r="G21">
        <v>1.39713</v>
      </c>
      <c r="H21">
        <v>476.56</v>
      </c>
      <c r="I21">
        <v>136.19999999999999</v>
      </c>
      <c r="J21" s="7">
        <f t="shared" si="0"/>
        <v>3.4989720998531575</v>
      </c>
      <c r="K21" s="4">
        <f t="shared" si="1"/>
        <v>2596.4500000000007</v>
      </c>
    </row>
    <row r="22" spans="1:11" ht="15" thickBot="1" x14ac:dyDescent="0.4">
      <c r="A22" t="s">
        <v>301</v>
      </c>
      <c r="B22" t="s">
        <v>303</v>
      </c>
      <c r="C22" t="s">
        <v>439</v>
      </c>
      <c r="D22" t="s">
        <v>46</v>
      </c>
      <c r="E22">
        <v>0.65</v>
      </c>
      <c r="F22">
        <v>1.1530800000000001</v>
      </c>
      <c r="G22">
        <v>1.1652199999999999</v>
      </c>
      <c r="H22">
        <v>580.46</v>
      </c>
      <c r="I22">
        <v>166.82</v>
      </c>
      <c r="J22" s="7">
        <f t="shared" si="0"/>
        <v>3.4795588058985736</v>
      </c>
      <c r="K22" s="4">
        <f t="shared" si="1"/>
        <v>3176.9100000000008</v>
      </c>
    </row>
    <row r="23" spans="1:11" ht="15" thickBot="1" x14ac:dyDescent="0.4">
      <c r="A23" t="s">
        <v>317</v>
      </c>
      <c r="B23" t="s">
        <v>318</v>
      </c>
      <c r="C23" t="s">
        <v>440</v>
      </c>
      <c r="D23" t="s">
        <v>16</v>
      </c>
      <c r="E23">
        <v>4.75</v>
      </c>
      <c r="F23">
        <v>1.3948199999999999</v>
      </c>
      <c r="G23">
        <v>1.3945700000000001</v>
      </c>
      <c r="H23">
        <v>-65.14</v>
      </c>
      <c r="I23">
        <v>204.12</v>
      </c>
      <c r="J23" s="7">
        <f t="shared" si="0"/>
        <v>-0.31912600431118948</v>
      </c>
      <c r="K23" s="4">
        <f t="shared" si="1"/>
        <v>3111.7700000000009</v>
      </c>
    </row>
    <row r="24" spans="1:11" ht="15" thickBot="1" x14ac:dyDescent="0.4">
      <c r="A24" t="s">
        <v>319</v>
      </c>
      <c r="B24" t="s">
        <v>318</v>
      </c>
      <c r="C24" t="s">
        <v>440</v>
      </c>
      <c r="D24" t="s">
        <v>16</v>
      </c>
      <c r="E24">
        <v>3.93</v>
      </c>
      <c r="F24">
        <v>1.3950199999999999</v>
      </c>
      <c r="G24">
        <v>1.3945700000000001</v>
      </c>
      <c r="H24">
        <v>-97.01</v>
      </c>
      <c r="I24">
        <v>199.93</v>
      </c>
      <c r="J24" s="7">
        <f t="shared" si="0"/>
        <v>-0.48521982693942883</v>
      </c>
      <c r="K24" s="4">
        <f t="shared" si="1"/>
        <v>3014.7600000000007</v>
      </c>
    </row>
    <row r="25" spans="1:11" ht="15" thickBot="1" x14ac:dyDescent="0.4">
      <c r="A25" t="s">
        <v>307</v>
      </c>
      <c r="B25" t="s">
        <v>308</v>
      </c>
      <c r="C25" t="s">
        <v>438</v>
      </c>
      <c r="D25" t="s">
        <v>12</v>
      </c>
      <c r="E25">
        <v>0.35</v>
      </c>
      <c r="F25">
        <v>58.018000000000001</v>
      </c>
      <c r="G25">
        <v>59.192999999999998</v>
      </c>
      <c r="H25">
        <v>302.52</v>
      </c>
      <c r="I25">
        <v>193.7</v>
      </c>
      <c r="J25" s="7">
        <f t="shared" si="0"/>
        <v>1.5617965926690758</v>
      </c>
      <c r="K25" s="4">
        <f t="shared" si="1"/>
        <v>3317.2800000000007</v>
      </c>
    </row>
    <row r="26" spans="1:11" ht="15" thickBot="1" x14ac:dyDescent="0.4">
      <c r="A26" t="s">
        <v>316</v>
      </c>
      <c r="B26" t="s">
        <v>308</v>
      </c>
      <c r="C26" t="s">
        <v>438</v>
      </c>
      <c r="D26" t="s">
        <v>12</v>
      </c>
      <c r="E26">
        <v>0.35</v>
      </c>
      <c r="F26">
        <v>59.018000000000001</v>
      </c>
      <c r="G26">
        <v>59.19</v>
      </c>
      <c r="H26">
        <v>44.29</v>
      </c>
      <c r="I26">
        <v>213.14</v>
      </c>
      <c r="J26" s="7">
        <f t="shared" si="0"/>
        <v>0.20779769165806514</v>
      </c>
      <c r="K26" s="4">
        <f t="shared" si="1"/>
        <v>3361.5700000000006</v>
      </c>
    </row>
    <row r="27" spans="1:11" ht="15" thickBot="1" x14ac:dyDescent="0.4">
      <c r="A27" t="s">
        <v>316</v>
      </c>
      <c r="B27" t="s">
        <v>308</v>
      </c>
      <c r="C27" t="s">
        <v>438</v>
      </c>
      <c r="D27" t="s">
        <v>12</v>
      </c>
      <c r="E27">
        <v>0.35</v>
      </c>
      <c r="F27">
        <v>59.018000000000001</v>
      </c>
      <c r="G27">
        <v>59.192999999999998</v>
      </c>
      <c r="H27">
        <v>45.06</v>
      </c>
      <c r="I27">
        <v>215.98</v>
      </c>
      <c r="J27" s="7">
        <f t="shared" si="0"/>
        <v>0.20863042874340218</v>
      </c>
      <c r="K27" s="4">
        <f t="shared" si="1"/>
        <v>3406.6300000000006</v>
      </c>
    </row>
    <row r="28" spans="1:11" ht="15" thickBot="1" x14ac:dyDescent="0.4">
      <c r="A28" t="s">
        <v>320</v>
      </c>
      <c r="B28" t="s">
        <v>321</v>
      </c>
      <c r="C28" t="s">
        <v>441</v>
      </c>
      <c r="D28" t="s">
        <v>76</v>
      </c>
      <c r="E28">
        <v>0.2</v>
      </c>
      <c r="F28">
        <v>4204.66</v>
      </c>
      <c r="G28">
        <v>4213.08</v>
      </c>
      <c r="H28">
        <v>-126.45</v>
      </c>
      <c r="I28">
        <v>218.88</v>
      </c>
      <c r="J28" s="7">
        <f t="shared" si="0"/>
        <v>-0.57771381578947367</v>
      </c>
      <c r="K28" s="4">
        <f t="shared" si="1"/>
        <v>3280.1800000000007</v>
      </c>
    </row>
    <row r="29" spans="1:11" ht="15" thickBot="1" x14ac:dyDescent="0.4">
      <c r="A29" t="s">
        <v>320</v>
      </c>
      <c r="B29" t="s">
        <v>321</v>
      </c>
      <c r="C29" t="s">
        <v>441</v>
      </c>
      <c r="D29" t="s">
        <v>76</v>
      </c>
      <c r="E29">
        <v>0.2</v>
      </c>
      <c r="F29">
        <v>4204.66</v>
      </c>
      <c r="G29">
        <v>4213.08</v>
      </c>
      <c r="H29">
        <v>-126.45</v>
      </c>
      <c r="I29">
        <v>210.75</v>
      </c>
      <c r="J29" s="7">
        <f t="shared" si="0"/>
        <v>-0.6</v>
      </c>
      <c r="K29" s="4">
        <f t="shared" si="1"/>
        <v>3153.7300000000009</v>
      </c>
    </row>
    <row r="30" spans="1:11" ht="15" thickBot="1" x14ac:dyDescent="0.4">
      <c r="A30" t="s">
        <v>328</v>
      </c>
      <c r="B30" t="s">
        <v>329</v>
      </c>
      <c r="C30" t="s">
        <v>439</v>
      </c>
      <c r="D30" t="s">
        <v>46</v>
      </c>
      <c r="E30">
        <v>1.84</v>
      </c>
      <c r="F30">
        <v>1.1634100000000001</v>
      </c>
      <c r="G30">
        <v>1.1634100000000001</v>
      </c>
      <c r="H30">
        <v>0</v>
      </c>
      <c r="I30">
        <v>202.63</v>
      </c>
      <c r="J30" s="7">
        <f t="shared" si="0"/>
        <v>0</v>
      </c>
      <c r="K30" s="4">
        <f t="shared" si="1"/>
        <v>3153.7300000000009</v>
      </c>
    </row>
    <row r="31" spans="1:11" ht="15" thickBot="1" x14ac:dyDescent="0.4">
      <c r="A31" t="s">
        <v>328</v>
      </c>
      <c r="B31" t="s">
        <v>329</v>
      </c>
      <c r="C31" t="s">
        <v>439</v>
      </c>
      <c r="D31" t="s">
        <v>46</v>
      </c>
      <c r="E31">
        <v>1.84</v>
      </c>
      <c r="F31">
        <v>1.1634100000000001</v>
      </c>
      <c r="G31">
        <v>1.1634100000000001</v>
      </c>
      <c r="H31">
        <v>0</v>
      </c>
      <c r="I31">
        <v>202.63</v>
      </c>
      <c r="J31" s="7">
        <f t="shared" si="0"/>
        <v>0</v>
      </c>
      <c r="K31" s="4">
        <f t="shared" si="1"/>
        <v>3153.7300000000009</v>
      </c>
    </row>
    <row r="32" spans="1:11" ht="15" thickBot="1" x14ac:dyDescent="0.4">
      <c r="A32" t="s">
        <v>322</v>
      </c>
      <c r="B32" t="s">
        <v>324</v>
      </c>
      <c r="C32" t="s">
        <v>442</v>
      </c>
      <c r="D32" t="s">
        <v>42</v>
      </c>
      <c r="E32">
        <v>1.3</v>
      </c>
      <c r="F32">
        <v>6868.27</v>
      </c>
      <c r="G32">
        <v>6850.14</v>
      </c>
      <c r="H32">
        <v>176.59</v>
      </c>
      <c r="I32">
        <v>202.63</v>
      </c>
      <c r="J32" s="7">
        <f t="shared" si="0"/>
        <v>0.8714899077135666</v>
      </c>
      <c r="K32" s="4">
        <f t="shared" si="1"/>
        <v>3330.3200000000011</v>
      </c>
    </row>
    <row r="33" spans="1:11" ht="15" thickBot="1" x14ac:dyDescent="0.4">
      <c r="A33" t="s">
        <v>322</v>
      </c>
      <c r="B33" t="s">
        <v>323</v>
      </c>
      <c r="C33" t="s">
        <v>442</v>
      </c>
      <c r="D33" t="s">
        <v>42</v>
      </c>
      <c r="E33">
        <v>1.3</v>
      </c>
      <c r="F33">
        <v>6868.35</v>
      </c>
      <c r="G33">
        <v>6868.77</v>
      </c>
      <c r="H33">
        <v>-4.09</v>
      </c>
      <c r="I33">
        <v>213.97</v>
      </c>
      <c r="J33" s="7">
        <f t="shared" si="0"/>
        <v>-1.9114829181660981E-2</v>
      </c>
      <c r="K33" s="4">
        <f t="shared" si="1"/>
        <v>3326.2300000000009</v>
      </c>
    </row>
    <row r="34" spans="1:11" ht="15" thickBot="1" x14ac:dyDescent="0.4">
      <c r="A34" t="s">
        <v>330</v>
      </c>
      <c r="B34" t="s">
        <v>331</v>
      </c>
      <c r="C34" t="s">
        <v>442</v>
      </c>
      <c r="D34" t="s">
        <v>42</v>
      </c>
      <c r="E34">
        <v>1.38</v>
      </c>
      <c r="F34">
        <v>6842.72</v>
      </c>
      <c r="G34">
        <v>6863.22</v>
      </c>
      <c r="H34">
        <v>-210.71</v>
      </c>
      <c r="I34">
        <v>213.71</v>
      </c>
      <c r="J34" s="7">
        <f t="shared" si="0"/>
        <v>-0.98596228533994668</v>
      </c>
      <c r="K34" s="4">
        <f t="shared" si="1"/>
        <v>3115.5200000000009</v>
      </c>
    </row>
    <row r="35" spans="1:11" ht="15" thickBot="1" x14ac:dyDescent="0.4">
      <c r="A35" t="s">
        <v>330</v>
      </c>
      <c r="B35" t="s">
        <v>331</v>
      </c>
      <c r="C35" t="s">
        <v>442</v>
      </c>
      <c r="D35" t="s">
        <v>42</v>
      </c>
      <c r="E35">
        <v>1.38</v>
      </c>
      <c r="F35">
        <v>6842.7</v>
      </c>
      <c r="G35">
        <v>6863.22</v>
      </c>
      <c r="H35">
        <v>-210.92</v>
      </c>
      <c r="I35">
        <v>200.17</v>
      </c>
      <c r="J35" s="7">
        <f t="shared" si="0"/>
        <v>-1.0537043513013937</v>
      </c>
      <c r="K35" s="4">
        <f t="shared" si="1"/>
        <v>2904.6000000000008</v>
      </c>
    </row>
    <row r="36" spans="1:11" ht="15" thickBot="1" x14ac:dyDescent="0.4">
      <c r="A36" t="s">
        <v>325</v>
      </c>
      <c r="B36" t="s">
        <v>326</v>
      </c>
      <c r="C36" t="s">
        <v>441</v>
      </c>
      <c r="D36" t="s">
        <v>76</v>
      </c>
      <c r="E36">
        <v>0.09</v>
      </c>
      <c r="F36">
        <v>4199.2299999999996</v>
      </c>
      <c r="G36">
        <v>4271.88</v>
      </c>
      <c r="H36">
        <v>487.38</v>
      </c>
      <c r="I36">
        <v>186.62</v>
      </c>
      <c r="J36" s="7">
        <f t="shared" si="0"/>
        <v>2.6116171900117884</v>
      </c>
      <c r="K36" s="4">
        <f t="shared" si="1"/>
        <v>3391.9800000000009</v>
      </c>
    </row>
    <row r="37" spans="1:11" ht="15" thickBot="1" x14ac:dyDescent="0.4">
      <c r="A37" t="s">
        <v>335</v>
      </c>
      <c r="B37" t="s">
        <v>336</v>
      </c>
      <c r="C37" t="s">
        <v>438</v>
      </c>
      <c r="D37" t="s">
        <v>12</v>
      </c>
      <c r="E37">
        <v>1.2</v>
      </c>
      <c r="F37">
        <v>57.488</v>
      </c>
      <c r="G37">
        <v>57.192999999999998</v>
      </c>
      <c r="H37">
        <v>-269.99</v>
      </c>
      <c r="I37">
        <v>217.93</v>
      </c>
      <c r="J37" s="7">
        <f t="shared" si="0"/>
        <v>-1.2388840453356582</v>
      </c>
      <c r="K37" s="4">
        <f t="shared" si="1"/>
        <v>3121.9900000000007</v>
      </c>
    </row>
    <row r="38" spans="1:11" ht="15" thickBot="1" x14ac:dyDescent="0.4">
      <c r="A38" t="s">
        <v>335</v>
      </c>
      <c r="B38" t="s">
        <v>336</v>
      </c>
      <c r="C38" t="s">
        <v>438</v>
      </c>
      <c r="D38" t="s">
        <v>12</v>
      </c>
      <c r="E38">
        <v>1.2</v>
      </c>
      <c r="F38">
        <v>57.488</v>
      </c>
      <c r="G38">
        <v>57.192999999999998</v>
      </c>
      <c r="H38">
        <v>-269.99</v>
      </c>
      <c r="I38">
        <v>200.59</v>
      </c>
      <c r="J38" s="7">
        <f t="shared" si="0"/>
        <v>-1.3459793608853881</v>
      </c>
      <c r="K38" s="4">
        <f t="shared" si="1"/>
        <v>2852.0000000000009</v>
      </c>
    </row>
    <row r="39" spans="1:11" ht="15" thickBot="1" x14ac:dyDescent="0.4">
      <c r="A39" t="s">
        <v>325</v>
      </c>
      <c r="B39" t="s">
        <v>327</v>
      </c>
      <c r="C39" t="s">
        <v>441</v>
      </c>
      <c r="D39" t="s">
        <v>76</v>
      </c>
      <c r="E39">
        <v>0.09</v>
      </c>
      <c r="F39">
        <v>4199.29</v>
      </c>
      <c r="G39">
        <v>4320.71</v>
      </c>
      <c r="H39">
        <v>817.69</v>
      </c>
      <c r="I39">
        <v>183.24</v>
      </c>
      <c r="J39" s="7">
        <f t="shared" si="0"/>
        <v>4.4623990395110242</v>
      </c>
      <c r="K39" s="4">
        <f t="shared" si="1"/>
        <v>3669.690000000001</v>
      </c>
    </row>
    <row r="40" spans="1:11" ht="15" thickBot="1" x14ac:dyDescent="0.4">
      <c r="A40" t="s">
        <v>337</v>
      </c>
      <c r="B40" t="s">
        <v>338</v>
      </c>
      <c r="C40" t="s">
        <v>438</v>
      </c>
      <c r="D40" t="s">
        <v>12</v>
      </c>
      <c r="E40">
        <v>0.68</v>
      </c>
      <c r="F40">
        <v>57.548000000000002</v>
      </c>
      <c r="G40">
        <v>57.137</v>
      </c>
      <c r="H40">
        <v>-213.01</v>
      </c>
      <c r="I40">
        <v>235.78</v>
      </c>
      <c r="J40" s="7">
        <f t="shared" si="0"/>
        <v>-0.90342692340317243</v>
      </c>
      <c r="K40" s="4">
        <f t="shared" si="1"/>
        <v>3456.6800000000012</v>
      </c>
    </row>
    <row r="41" spans="1:11" ht="15" thickBot="1" x14ac:dyDescent="0.4">
      <c r="A41" t="s">
        <v>337</v>
      </c>
      <c r="B41" t="s">
        <v>338</v>
      </c>
      <c r="C41" t="s">
        <v>438</v>
      </c>
      <c r="D41" t="s">
        <v>12</v>
      </c>
      <c r="E41">
        <v>0.68</v>
      </c>
      <c r="F41">
        <v>57.548000000000002</v>
      </c>
      <c r="G41">
        <v>57.137</v>
      </c>
      <c r="H41">
        <v>-213.01</v>
      </c>
      <c r="I41">
        <v>222.09</v>
      </c>
      <c r="J41" s="7">
        <f t="shared" si="0"/>
        <v>-0.95911567382592633</v>
      </c>
      <c r="K41" s="4">
        <f t="shared" si="1"/>
        <v>3243.670000000001</v>
      </c>
    </row>
    <row r="42" spans="1:11" ht="15" thickBot="1" x14ac:dyDescent="0.4">
      <c r="A42" t="s">
        <v>339</v>
      </c>
      <c r="B42" t="s">
        <v>340</v>
      </c>
      <c r="C42" t="s">
        <v>443</v>
      </c>
      <c r="D42" t="s">
        <v>31</v>
      </c>
      <c r="E42">
        <v>0.93</v>
      </c>
      <c r="F42">
        <v>1.3377300000000001</v>
      </c>
      <c r="G42">
        <v>1.3365499999999999</v>
      </c>
      <c r="H42">
        <v>-83.75</v>
      </c>
      <c r="I42">
        <v>208.41</v>
      </c>
      <c r="J42" s="7">
        <f t="shared" si="0"/>
        <v>-0.40185211842042129</v>
      </c>
      <c r="K42" s="4">
        <f t="shared" si="1"/>
        <v>3159.920000000001</v>
      </c>
    </row>
    <row r="43" spans="1:11" ht="15" thickBot="1" x14ac:dyDescent="0.4">
      <c r="A43" t="s">
        <v>339</v>
      </c>
      <c r="B43" t="s">
        <v>340</v>
      </c>
      <c r="C43" t="s">
        <v>443</v>
      </c>
      <c r="D43" t="s">
        <v>31</v>
      </c>
      <c r="E43">
        <v>0.93</v>
      </c>
      <c r="F43">
        <v>1.3377300000000001</v>
      </c>
      <c r="G43">
        <v>1.3365499999999999</v>
      </c>
      <c r="H43">
        <v>-83.75</v>
      </c>
      <c r="I43">
        <v>203.02</v>
      </c>
      <c r="J43" s="7">
        <f t="shared" si="0"/>
        <v>-0.4125209338981381</v>
      </c>
      <c r="K43" s="4">
        <f t="shared" si="1"/>
        <v>3076.170000000001</v>
      </c>
    </row>
    <row r="44" spans="1:11" ht="15" thickBot="1" x14ac:dyDescent="0.4">
      <c r="A44" t="s">
        <v>332</v>
      </c>
      <c r="B44" t="s">
        <v>333</v>
      </c>
      <c r="C44" t="s">
        <v>442</v>
      </c>
      <c r="D44" t="s">
        <v>42</v>
      </c>
      <c r="E44">
        <v>1.23</v>
      </c>
      <c r="F44">
        <v>6896.1</v>
      </c>
      <c r="G44">
        <v>6790.8</v>
      </c>
      <c r="H44">
        <v>967.36</v>
      </c>
      <c r="I44">
        <v>197.64</v>
      </c>
      <c r="J44" s="7">
        <f t="shared" si="0"/>
        <v>4.8945557579437367</v>
      </c>
      <c r="K44" s="4">
        <f t="shared" si="1"/>
        <v>4043.5300000000011</v>
      </c>
    </row>
    <row r="45" spans="1:11" ht="15" thickBot="1" x14ac:dyDescent="0.4">
      <c r="A45" t="s">
        <v>341</v>
      </c>
      <c r="B45" t="s">
        <v>342</v>
      </c>
      <c r="C45" t="s">
        <v>441</v>
      </c>
      <c r="D45" t="s">
        <v>76</v>
      </c>
      <c r="E45">
        <v>0.09</v>
      </c>
      <c r="F45">
        <v>4311.1000000000004</v>
      </c>
      <c r="G45">
        <v>4343.34</v>
      </c>
      <c r="H45">
        <v>-217.22</v>
      </c>
      <c r="I45">
        <v>259.8</v>
      </c>
      <c r="J45" s="7">
        <f t="shared" si="0"/>
        <v>-0.83610469591993841</v>
      </c>
      <c r="K45" s="4">
        <f t="shared" si="1"/>
        <v>3826.3100000000013</v>
      </c>
    </row>
    <row r="46" spans="1:11" ht="15" thickBot="1" x14ac:dyDescent="0.4">
      <c r="A46" t="s">
        <v>341</v>
      </c>
      <c r="B46" t="s">
        <v>342</v>
      </c>
      <c r="C46" t="s">
        <v>441</v>
      </c>
      <c r="D46" t="s">
        <v>76</v>
      </c>
      <c r="E46">
        <v>0.09</v>
      </c>
      <c r="F46">
        <v>4311.1000000000004</v>
      </c>
      <c r="G46">
        <v>4343.34</v>
      </c>
      <c r="H46">
        <v>-217.22</v>
      </c>
      <c r="I46">
        <v>245.84</v>
      </c>
      <c r="J46" s="7">
        <f t="shared" si="0"/>
        <v>-0.8835828180930686</v>
      </c>
      <c r="K46" s="4">
        <f t="shared" si="1"/>
        <v>3609.0900000000015</v>
      </c>
    </row>
    <row r="47" spans="1:11" ht="15" thickBot="1" x14ac:dyDescent="0.4">
      <c r="A47" t="s">
        <v>332</v>
      </c>
      <c r="B47" t="s">
        <v>334</v>
      </c>
      <c r="C47" t="s">
        <v>442</v>
      </c>
      <c r="D47" t="s">
        <v>42</v>
      </c>
      <c r="E47">
        <v>1.23</v>
      </c>
      <c r="F47">
        <v>6896.1</v>
      </c>
      <c r="G47">
        <v>6738.87</v>
      </c>
      <c r="H47">
        <v>1445.92</v>
      </c>
      <c r="I47">
        <v>231.88</v>
      </c>
      <c r="J47" s="7">
        <f t="shared" si="0"/>
        <v>6.2356391236846651</v>
      </c>
      <c r="K47" s="4">
        <f t="shared" si="1"/>
        <v>5055.010000000002</v>
      </c>
    </row>
    <row r="48" spans="1:11" ht="15" thickBot="1" x14ac:dyDescent="0.4">
      <c r="A48" t="s">
        <v>343</v>
      </c>
      <c r="B48" t="s">
        <v>344</v>
      </c>
      <c r="C48" t="s">
        <v>438</v>
      </c>
      <c r="D48" t="s">
        <v>12</v>
      </c>
      <c r="E48">
        <v>1.1200000000000001</v>
      </c>
      <c r="F48">
        <v>55.993000000000002</v>
      </c>
      <c r="G48">
        <v>55.698999999999998</v>
      </c>
      <c r="H48">
        <v>-251.27</v>
      </c>
      <c r="I48">
        <v>324.77999999999997</v>
      </c>
      <c r="J48" s="7">
        <f t="shared" si="0"/>
        <v>-0.77366217131596782</v>
      </c>
      <c r="K48" s="4">
        <f t="shared" si="1"/>
        <v>4803.7400000000016</v>
      </c>
    </row>
    <row r="49" spans="1:11" ht="15" thickBot="1" x14ac:dyDescent="0.4">
      <c r="A49" t="s">
        <v>343</v>
      </c>
      <c r="B49" t="s">
        <v>344</v>
      </c>
      <c r="C49" t="s">
        <v>438</v>
      </c>
      <c r="D49" t="s">
        <v>12</v>
      </c>
      <c r="E49">
        <v>1.1200000000000001</v>
      </c>
      <c r="F49">
        <v>55.993000000000002</v>
      </c>
      <c r="G49">
        <v>55.698999999999998</v>
      </c>
      <c r="H49">
        <v>-251.27</v>
      </c>
      <c r="I49">
        <v>308.64</v>
      </c>
      <c r="J49" s="7">
        <f t="shared" si="0"/>
        <v>-0.81412001036806647</v>
      </c>
      <c r="K49" s="4">
        <f t="shared" si="1"/>
        <v>4552.4700000000012</v>
      </c>
    </row>
    <row r="50" spans="1:11" ht="15" thickBot="1" x14ac:dyDescent="0.4">
      <c r="A50" t="s">
        <v>345</v>
      </c>
      <c r="B50" t="s">
        <v>346</v>
      </c>
      <c r="C50" t="s">
        <v>438</v>
      </c>
      <c r="D50" t="s">
        <v>12</v>
      </c>
      <c r="E50">
        <v>0.97</v>
      </c>
      <c r="F50">
        <v>55.978000000000002</v>
      </c>
      <c r="G50">
        <v>57.863</v>
      </c>
      <c r="H50">
        <v>1333.98</v>
      </c>
      <c r="I50">
        <v>292.5</v>
      </c>
      <c r="J50" s="7">
        <f t="shared" si="0"/>
        <v>4.5606153846153843</v>
      </c>
      <c r="K50" s="4">
        <f t="shared" si="1"/>
        <v>5886.4500000000007</v>
      </c>
    </row>
    <row r="51" spans="1:11" ht="15" thickBot="1" x14ac:dyDescent="0.4">
      <c r="A51" t="s">
        <v>348</v>
      </c>
      <c r="B51" t="s">
        <v>349</v>
      </c>
      <c r="C51" t="s">
        <v>441</v>
      </c>
      <c r="D51" t="s">
        <v>76</v>
      </c>
      <c r="E51">
        <v>0.09</v>
      </c>
      <c r="F51">
        <v>4469.4399999999996</v>
      </c>
      <c r="G51">
        <v>4502.5600000000004</v>
      </c>
      <c r="H51">
        <v>-220.68</v>
      </c>
      <c r="I51">
        <v>378.2</v>
      </c>
      <c r="J51" s="7">
        <f t="shared" si="0"/>
        <v>-0.58350079323109472</v>
      </c>
      <c r="K51" s="4">
        <f t="shared" si="1"/>
        <v>5665.77</v>
      </c>
    </row>
    <row r="52" spans="1:11" ht="15" thickBot="1" x14ac:dyDescent="0.4">
      <c r="A52" t="s">
        <v>348</v>
      </c>
      <c r="B52" t="s">
        <v>349</v>
      </c>
      <c r="C52" t="s">
        <v>441</v>
      </c>
      <c r="D52" t="s">
        <v>76</v>
      </c>
      <c r="E52">
        <v>0.09</v>
      </c>
      <c r="F52">
        <v>4469.4399999999996</v>
      </c>
      <c r="G52">
        <v>4502.5600000000004</v>
      </c>
      <c r="H52">
        <v>-220.68</v>
      </c>
      <c r="I52">
        <v>364.03</v>
      </c>
      <c r="J52" s="7">
        <f t="shared" si="0"/>
        <v>-0.60621377359008877</v>
      </c>
      <c r="K52" s="4">
        <f t="shared" si="1"/>
        <v>5445.09</v>
      </c>
    </row>
    <row r="53" spans="1:11" ht="15" thickBot="1" x14ac:dyDescent="0.4">
      <c r="A53" t="s">
        <v>350</v>
      </c>
      <c r="B53" t="s">
        <v>351</v>
      </c>
      <c r="C53" t="s">
        <v>439</v>
      </c>
      <c r="D53" t="s">
        <v>46</v>
      </c>
      <c r="E53">
        <v>2.06</v>
      </c>
      <c r="F53">
        <v>1.17906</v>
      </c>
      <c r="G53">
        <v>1.17635</v>
      </c>
      <c r="H53">
        <v>-422.28</v>
      </c>
      <c r="I53">
        <v>349.85</v>
      </c>
      <c r="J53" s="7">
        <f t="shared" si="0"/>
        <v>-1.2070315849649849</v>
      </c>
      <c r="K53" s="4">
        <f t="shared" si="1"/>
        <v>5022.8100000000004</v>
      </c>
    </row>
    <row r="54" spans="1:11" ht="15" thickBot="1" x14ac:dyDescent="0.4">
      <c r="A54" t="s">
        <v>350</v>
      </c>
      <c r="B54" t="s">
        <v>351</v>
      </c>
      <c r="C54" t="s">
        <v>439</v>
      </c>
      <c r="D54" t="s">
        <v>46</v>
      </c>
      <c r="E54">
        <v>2.06</v>
      </c>
      <c r="F54">
        <v>1.17906</v>
      </c>
      <c r="G54">
        <v>1.17635</v>
      </c>
      <c r="H54">
        <v>-422.28</v>
      </c>
      <c r="I54">
        <v>322.72000000000003</v>
      </c>
      <c r="J54" s="7">
        <f t="shared" si="0"/>
        <v>-1.3085027268220126</v>
      </c>
      <c r="K54" s="4">
        <f t="shared" si="1"/>
        <v>4600.5300000000007</v>
      </c>
    </row>
    <row r="55" spans="1:11" ht="15" thickBot="1" x14ac:dyDescent="0.4">
      <c r="A55" t="s">
        <v>345</v>
      </c>
      <c r="B55" t="s">
        <v>347</v>
      </c>
      <c r="C55" t="s">
        <v>438</v>
      </c>
      <c r="D55" t="s">
        <v>12</v>
      </c>
      <c r="E55">
        <v>0.97</v>
      </c>
      <c r="F55">
        <v>55.978000000000002</v>
      </c>
      <c r="G55">
        <v>57.302999999999997</v>
      </c>
      <c r="H55">
        <v>933.87</v>
      </c>
      <c r="I55">
        <v>295.58</v>
      </c>
      <c r="J55" s="7">
        <f t="shared" si="0"/>
        <v>3.1594492184856895</v>
      </c>
      <c r="K55" s="4">
        <f t="shared" si="1"/>
        <v>5534.4000000000005</v>
      </c>
    </row>
    <row r="56" spans="1:11" ht="15" thickBot="1" x14ac:dyDescent="0.4">
      <c r="A56" t="s">
        <v>355</v>
      </c>
      <c r="B56" t="s">
        <v>356</v>
      </c>
      <c r="C56" t="s">
        <v>438</v>
      </c>
      <c r="D56" t="s">
        <v>12</v>
      </c>
      <c r="E56">
        <v>0.92</v>
      </c>
      <c r="F56">
        <v>57.802999999999997</v>
      </c>
      <c r="G56">
        <v>58.137999999999998</v>
      </c>
      <c r="H56">
        <v>-233.69</v>
      </c>
      <c r="I56">
        <v>355.59</v>
      </c>
      <c r="J56" s="7">
        <f t="shared" si="0"/>
        <v>-0.65718945977108467</v>
      </c>
      <c r="K56" s="4">
        <f t="shared" si="1"/>
        <v>5300.7100000000009</v>
      </c>
    </row>
    <row r="57" spans="1:11" ht="15" thickBot="1" x14ac:dyDescent="0.4">
      <c r="A57" t="s">
        <v>355</v>
      </c>
      <c r="B57" t="s">
        <v>356</v>
      </c>
      <c r="C57" t="s">
        <v>438</v>
      </c>
      <c r="D57" t="s">
        <v>12</v>
      </c>
      <c r="E57">
        <v>0.92</v>
      </c>
      <c r="F57">
        <v>57.802999999999997</v>
      </c>
      <c r="G57">
        <v>58.137999999999998</v>
      </c>
      <c r="H57">
        <v>-233.69</v>
      </c>
      <c r="I57">
        <v>340.57</v>
      </c>
      <c r="J57" s="7">
        <f t="shared" si="0"/>
        <v>-0.68617318025662855</v>
      </c>
      <c r="K57" s="4">
        <f t="shared" si="1"/>
        <v>5067.0200000000013</v>
      </c>
    </row>
    <row r="58" spans="1:11" ht="15" thickBot="1" x14ac:dyDescent="0.4">
      <c r="A58" t="s">
        <v>352</v>
      </c>
      <c r="B58" t="s">
        <v>353</v>
      </c>
      <c r="C58" t="s">
        <v>441</v>
      </c>
      <c r="D58" t="s">
        <v>76</v>
      </c>
      <c r="E58">
        <v>7.0000000000000007E-2</v>
      </c>
      <c r="F58">
        <v>4492.38</v>
      </c>
      <c r="G58">
        <v>4374.75</v>
      </c>
      <c r="H58">
        <v>610.53</v>
      </c>
      <c r="I58">
        <v>325.56</v>
      </c>
      <c r="J58" s="7">
        <f t="shared" si="0"/>
        <v>1.8753225211942499</v>
      </c>
      <c r="K58" s="4">
        <f t="shared" si="1"/>
        <v>5677.5500000000011</v>
      </c>
    </row>
    <row r="59" spans="1:11" ht="15" thickBot="1" x14ac:dyDescent="0.4">
      <c r="A59" t="s">
        <v>357</v>
      </c>
      <c r="B59" t="s">
        <v>358</v>
      </c>
      <c r="C59" t="s">
        <v>438</v>
      </c>
      <c r="D59" t="s">
        <v>12</v>
      </c>
      <c r="E59">
        <v>0.49</v>
      </c>
      <c r="F59">
        <v>56.853000000000002</v>
      </c>
      <c r="G59">
        <v>57.597999999999999</v>
      </c>
      <c r="H59">
        <v>-276.45999999999998</v>
      </c>
      <c r="I59">
        <v>364.78</v>
      </c>
      <c r="J59" s="7">
        <f t="shared" si="0"/>
        <v>-0.75788146279949564</v>
      </c>
      <c r="K59" s="4">
        <f t="shared" si="1"/>
        <v>5401.0900000000011</v>
      </c>
    </row>
    <row r="60" spans="1:11" ht="15" thickBot="1" x14ac:dyDescent="0.4">
      <c r="A60" t="s">
        <v>357</v>
      </c>
      <c r="B60" t="s">
        <v>358</v>
      </c>
      <c r="C60" t="s">
        <v>438</v>
      </c>
      <c r="D60" t="s">
        <v>12</v>
      </c>
      <c r="E60">
        <v>0.49</v>
      </c>
      <c r="F60">
        <v>56.853000000000002</v>
      </c>
      <c r="G60">
        <v>57.597999999999999</v>
      </c>
      <c r="H60">
        <v>-276.45999999999998</v>
      </c>
      <c r="I60">
        <v>347.02</v>
      </c>
      <c r="J60" s="7">
        <f t="shared" si="0"/>
        <v>-0.79666877989741225</v>
      </c>
      <c r="K60" s="4">
        <f t="shared" si="1"/>
        <v>5124.630000000001</v>
      </c>
    </row>
    <row r="61" spans="1:11" ht="15" thickBot="1" x14ac:dyDescent="0.4">
      <c r="A61" t="s">
        <v>361</v>
      </c>
      <c r="B61" t="s">
        <v>362</v>
      </c>
      <c r="C61" t="s">
        <v>441</v>
      </c>
      <c r="D61" t="s">
        <v>76</v>
      </c>
      <c r="E61">
        <v>0.16</v>
      </c>
      <c r="F61">
        <v>4449.8</v>
      </c>
      <c r="G61">
        <v>4474.3999999999996</v>
      </c>
      <c r="H61">
        <v>-291.11</v>
      </c>
      <c r="I61">
        <v>329.26</v>
      </c>
      <c r="J61" s="7">
        <f t="shared" si="0"/>
        <v>-0.8841341189333658</v>
      </c>
      <c r="K61" s="4">
        <f t="shared" si="1"/>
        <v>4833.5200000000013</v>
      </c>
    </row>
    <row r="62" spans="1:11" ht="15" thickBot="1" x14ac:dyDescent="0.4">
      <c r="A62" t="s">
        <v>361</v>
      </c>
      <c r="B62" t="s">
        <v>362</v>
      </c>
      <c r="C62" t="s">
        <v>441</v>
      </c>
      <c r="D62" t="s">
        <v>76</v>
      </c>
      <c r="E62">
        <v>0.16</v>
      </c>
      <c r="F62">
        <v>4449.8</v>
      </c>
      <c r="G62">
        <v>4474.3999999999996</v>
      </c>
      <c r="H62">
        <v>-291.11</v>
      </c>
      <c r="I62">
        <v>310.55</v>
      </c>
      <c r="J62" s="7">
        <f t="shared" si="0"/>
        <v>-0.93740138464015454</v>
      </c>
      <c r="K62" s="4">
        <f t="shared" si="1"/>
        <v>4542.4100000000017</v>
      </c>
    </row>
    <row r="63" spans="1:11" ht="15" thickBot="1" x14ac:dyDescent="0.4">
      <c r="A63" t="s">
        <v>352</v>
      </c>
      <c r="B63" t="s">
        <v>354</v>
      </c>
      <c r="C63" t="s">
        <v>441</v>
      </c>
      <c r="D63" t="s">
        <v>76</v>
      </c>
      <c r="E63">
        <v>7.0000000000000007E-2</v>
      </c>
      <c r="F63">
        <v>4492.54</v>
      </c>
      <c r="G63">
        <v>4492.63</v>
      </c>
      <c r="H63">
        <v>-0.47</v>
      </c>
      <c r="I63">
        <v>291.85000000000002</v>
      </c>
      <c r="J63" s="7">
        <f t="shared" si="0"/>
        <v>-1.610416309748158E-3</v>
      </c>
      <c r="K63" s="4">
        <f t="shared" si="1"/>
        <v>4541.9400000000014</v>
      </c>
    </row>
    <row r="64" spans="1:11" ht="15" thickBot="1" x14ac:dyDescent="0.4">
      <c r="A64" t="s">
        <v>363</v>
      </c>
      <c r="B64" t="s">
        <v>364</v>
      </c>
      <c r="C64" t="s">
        <v>438</v>
      </c>
      <c r="D64" t="s">
        <v>12</v>
      </c>
      <c r="E64">
        <v>1.0900000000000001</v>
      </c>
      <c r="F64">
        <v>56.372999999999998</v>
      </c>
      <c r="G64">
        <v>56.372999999999998</v>
      </c>
      <c r="H64">
        <v>0</v>
      </c>
      <c r="I64">
        <v>291.82</v>
      </c>
      <c r="J64" s="7">
        <f t="shared" si="0"/>
        <v>0</v>
      </c>
      <c r="K64" s="4">
        <f t="shared" si="1"/>
        <v>4541.9400000000014</v>
      </c>
    </row>
    <row r="65" spans="1:11" ht="15" thickBot="1" x14ac:dyDescent="0.4">
      <c r="A65" t="s">
        <v>363</v>
      </c>
      <c r="B65" t="s">
        <v>364</v>
      </c>
      <c r="C65" t="s">
        <v>438</v>
      </c>
      <c r="D65" t="s">
        <v>12</v>
      </c>
      <c r="E65">
        <v>1.0900000000000001</v>
      </c>
      <c r="F65">
        <v>56.372999999999998</v>
      </c>
      <c r="G65">
        <v>56.372999999999998</v>
      </c>
      <c r="H65">
        <v>0</v>
      </c>
      <c r="I65">
        <v>291.82</v>
      </c>
      <c r="J65" s="7">
        <f t="shared" si="0"/>
        <v>0</v>
      </c>
      <c r="K65" s="4">
        <f t="shared" si="1"/>
        <v>4541.9400000000014</v>
      </c>
    </row>
    <row r="66" spans="1:11" ht="15" thickBot="1" x14ac:dyDescent="0.4">
      <c r="A66" t="s">
        <v>359</v>
      </c>
      <c r="B66" t="s">
        <v>360</v>
      </c>
      <c r="C66" t="s">
        <v>444</v>
      </c>
      <c r="D66" t="s">
        <v>83</v>
      </c>
      <c r="E66">
        <v>0.82</v>
      </c>
      <c r="F66">
        <v>156.92099999999999</v>
      </c>
      <c r="G66">
        <v>157.29599999999999</v>
      </c>
      <c r="H66">
        <v>-148.43</v>
      </c>
      <c r="I66">
        <v>291.82</v>
      </c>
      <c r="J66" s="7">
        <f t="shared" si="0"/>
        <v>-0.50863546021520123</v>
      </c>
      <c r="K66" s="4">
        <f t="shared" si="1"/>
        <v>4393.5100000000011</v>
      </c>
    </row>
    <row r="67" spans="1:11" ht="15" thickBot="1" x14ac:dyDescent="0.4">
      <c r="A67" t="s">
        <v>359</v>
      </c>
      <c r="B67" t="s">
        <v>360</v>
      </c>
      <c r="C67" t="s">
        <v>444</v>
      </c>
      <c r="D67" t="s">
        <v>83</v>
      </c>
      <c r="E67">
        <v>0.82</v>
      </c>
      <c r="F67">
        <v>156.92099999999999</v>
      </c>
      <c r="G67">
        <v>157.29599999999999</v>
      </c>
      <c r="H67">
        <v>-148.43</v>
      </c>
      <c r="I67">
        <v>282.27999999999997</v>
      </c>
      <c r="J67" s="7">
        <f t="shared" ref="J67:J126" si="2">H67/I67</f>
        <v>-0.52582542156723833</v>
      </c>
      <c r="K67" s="4">
        <f t="shared" si="1"/>
        <v>4245.0800000000008</v>
      </c>
    </row>
    <row r="68" spans="1:11" ht="15" thickBot="1" x14ac:dyDescent="0.4">
      <c r="A68" t="s">
        <v>368</v>
      </c>
      <c r="B68" t="s">
        <v>369</v>
      </c>
      <c r="C68" t="s">
        <v>442</v>
      </c>
      <c r="D68" t="s">
        <v>42</v>
      </c>
      <c r="E68">
        <v>1.47</v>
      </c>
      <c r="F68">
        <v>6916.72</v>
      </c>
      <c r="G68">
        <v>6915.35</v>
      </c>
      <c r="H68">
        <v>-15.01</v>
      </c>
      <c r="I68">
        <v>272.75</v>
      </c>
      <c r="J68" s="7">
        <f t="shared" si="2"/>
        <v>-5.5032080659945005E-2</v>
      </c>
      <c r="K68" s="4">
        <f t="shared" ref="K68:K126" si="3">K67+H68</f>
        <v>4230.0700000000006</v>
      </c>
    </row>
    <row r="69" spans="1:11" ht="15" thickBot="1" x14ac:dyDescent="0.4">
      <c r="A69" t="s">
        <v>368</v>
      </c>
      <c r="B69" t="s">
        <v>369</v>
      </c>
      <c r="C69" t="s">
        <v>442</v>
      </c>
      <c r="D69" t="s">
        <v>42</v>
      </c>
      <c r="E69">
        <v>1.47</v>
      </c>
      <c r="F69">
        <v>6916.72</v>
      </c>
      <c r="G69">
        <v>6915.34</v>
      </c>
      <c r="H69">
        <v>-15.12</v>
      </c>
      <c r="I69">
        <v>271.77999999999997</v>
      </c>
      <c r="J69" s="7">
        <f t="shared" si="2"/>
        <v>-5.5633232761792627E-2</v>
      </c>
      <c r="K69" s="4">
        <f t="shared" si="3"/>
        <v>4214.9500000000007</v>
      </c>
    </row>
    <row r="70" spans="1:11" ht="15" thickBot="1" x14ac:dyDescent="0.4">
      <c r="A70" t="s">
        <v>365</v>
      </c>
      <c r="B70" t="s">
        <v>367</v>
      </c>
      <c r="C70" t="s">
        <v>438</v>
      </c>
      <c r="D70" t="s">
        <v>12</v>
      </c>
      <c r="E70">
        <v>0.76</v>
      </c>
      <c r="F70">
        <v>56.253</v>
      </c>
      <c r="G70">
        <v>58.813000000000002</v>
      </c>
      <c r="H70">
        <v>1422.09</v>
      </c>
      <c r="I70">
        <v>270.81</v>
      </c>
      <c r="J70" s="7">
        <f t="shared" si="2"/>
        <v>5.2512462612163509</v>
      </c>
      <c r="K70" s="4">
        <f t="shared" si="3"/>
        <v>5637.0400000000009</v>
      </c>
    </row>
    <row r="71" spans="1:11" ht="15" thickBot="1" x14ac:dyDescent="0.4">
      <c r="A71" t="s">
        <v>370</v>
      </c>
      <c r="B71" t="s">
        <v>371</v>
      </c>
      <c r="C71" t="s">
        <v>439</v>
      </c>
      <c r="D71" t="s">
        <v>46</v>
      </c>
      <c r="E71">
        <v>2.58</v>
      </c>
      <c r="F71">
        <v>1.1673500000000001</v>
      </c>
      <c r="G71">
        <v>1.16527</v>
      </c>
      <c r="H71">
        <v>-406.74</v>
      </c>
      <c r="I71">
        <v>362.18</v>
      </c>
      <c r="J71" s="7">
        <f t="shared" si="2"/>
        <v>-1.123032746148324</v>
      </c>
      <c r="K71" s="4">
        <f t="shared" si="3"/>
        <v>5230.3000000000011</v>
      </c>
    </row>
    <row r="72" spans="1:11" ht="15" thickBot="1" x14ac:dyDescent="0.4">
      <c r="A72" t="s">
        <v>370</v>
      </c>
      <c r="B72" t="s">
        <v>371</v>
      </c>
      <c r="C72" t="s">
        <v>439</v>
      </c>
      <c r="D72" t="s">
        <v>46</v>
      </c>
      <c r="E72">
        <v>2.58</v>
      </c>
      <c r="F72">
        <v>1.1673500000000001</v>
      </c>
      <c r="G72">
        <v>1.16527</v>
      </c>
      <c r="H72">
        <v>-406.74</v>
      </c>
      <c r="I72">
        <v>336.05</v>
      </c>
      <c r="J72" s="7">
        <f t="shared" si="2"/>
        <v>-1.2103556018449635</v>
      </c>
      <c r="K72" s="4">
        <f t="shared" si="3"/>
        <v>4823.5600000000013</v>
      </c>
    </row>
    <row r="73" spans="1:11" ht="15" thickBot="1" x14ac:dyDescent="0.4">
      <c r="A73" t="s">
        <v>365</v>
      </c>
      <c r="B73" t="s">
        <v>366</v>
      </c>
      <c r="C73" t="s">
        <v>438</v>
      </c>
      <c r="D73" t="s">
        <v>12</v>
      </c>
      <c r="E73">
        <v>0.75</v>
      </c>
      <c r="F73">
        <v>56.253</v>
      </c>
      <c r="G73">
        <v>60.148000000000003</v>
      </c>
      <c r="H73">
        <v>2131.19</v>
      </c>
      <c r="I73">
        <v>309.91000000000003</v>
      </c>
      <c r="J73" s="7">
        <f t="shared" si="2"/>
        <v>6.8768029427898423</v>
      </c>
      <c r="K73" s="4">
        <f t="shared" si="3"/>
        <v>6954.7500000000018</v>
      </c>
    </row>
    <row r="74" spans="1:11" ht="15" thickBot="1" x14ac:dyDescent="0.4">
      <c r="A74" t="s">
        <v>372</v>
      </c>
      <c r="B74" t="s">
        <v>373</v>
      </c>
      <c r="C74" t="s">
        <v>439</v>
      </c>
      <c r="D74" t="s">
        <v>46</v>
      </c>
      <c r="E74">
        <v>2.58</v>
      </c>
      <c r="F74">
        <v>1.16543</v>
      </c>
      <c r="G74">
        <v>1.1633100000000001</v>
      </c>
      <c r="H74">
        <v>-415.48</v>
      </c>
      <c r="I74">
        <v>446.84</v>
      </c>
      <c r="J74" s="7">
        <f t="shared" si="2"/>
        <v>-0.92981827947363715</v>
      </c>
      <c r="K74" s="4">
        <f t="shared" si="3"/>
        <v>6539.2700000000023</v>
      </c>
    </row>
    <row r="75" spans="1:11" ht="15" thickBot="1" x14ac:dyDescent="0.4">
      <c r="A75" t="s">
        <v>372</v>
      </c>
      <c r="B75" t="s">
        <v>373</v>
      </c>
      <c r="C75" t="s">
        <v>439</v>
      </c>
      <c r="D75" t="s">
        <v>46</v>
      </c>
      <c r="E75">
        <v>2.57</v>
      </c>
      <c r="F75">
        <v>1.16543</v>
      </c>
      <c r="G75">
        <v>1.1633100000000001</v>
      </c>
      <c r="H75">
        <v>-413.87</v>
      </c>
      <c r="I75">
        <v>420.15</v>
      </c>
      <c r="J75" s="7">
        <f t="shared" si="2"/>
        <v>-0.98505295727716302</v>
      </c>
      <c r="K75" s="4">
        <f t="shared" si="3"/>
        <v>6125.4000000000024</v>
      </c>
    </row>
    <row r="76" spans="1:11" ht="15" thickBot="1" x14ac:dyDescent="0.4">
      <c r="A76" t="s">
        <v>374</v>
      </c>
      <c r="B76" t="s">
        <v>375</v>
      </c>
      <c r="C76" t="s">
        <v>439</v>
      </c>
      <c r="D76" t="s">
        <v>46</v>
      </c>
      <c r="E76">
        <v>1.93</v>
      </c>
      <c r="F76">
        <v>1.16412</v>
      </c>
      <c r="G76">
        <v>1.16178</v>
      </c>
      <c r="H76">
        <v>-343.86</v>
      </c>
      <c r="I76">
        <v>393.56</v>
      </c>
      <c r="J76" s="7">
        <f t="shared" si="2"/>
        <v>-0.87371684114239256</v>
      </c>
      <c r="K76" s="4">
        <f t="shared" si="3"/>
        <v>5781.5400000000027</v>
      </c>
    </row>
    <row r="77" spans="1:11" ht="15" thickBot="1" x14ac:dyDescent="0.4">
      <c r="A77" t="s">
        <v>374</v>
      </c>
      <c r="B77" t="s">
        <v>375</v>
      </c>
      <c r="C77" t="s">
        <v>439</v>
      </c>
      <c r="D77" t="s">
        <v>46</v>
      </c>
      <c r="E77">
        <v>1.93</v>
      </c>
      <c r="F77">
        <v>1.16412</v>
      </c>
      <c r="G77">
        <v>1.16178</v>
      </c>
      <c r="H77">
        <v>-343.86</v>
      </c>
      <c r="I77">
        <v>371.46</v>
      </c>
      <c r="J77" s="7">
        <f t="shared" si="2"/>
        <v>-0.92569859473429184</v>
      </c>
      <c r="K77" s="4">
        <f t="shared" si="3"/>
        <v>5437.680000000003</v>
      </c>
    </row>
    <row r="78" spans="1:11" ht="15" thickBot="1" x14ac:dyDescent="0.4">
      <c r="A78" t="s">
        <v>376</v>
      </c>
      <c r="B78" t="s">
        <v>377</v>
      </c>
      <c r="C78" t="s">
        <v>441</v>
      </c>
      <c r="D78" t="s">
        <v>76</v>
      </c>
      <c r="E78">
        <v>0.09</v>
      </c>
      <c r="F78">
        <v>4597.71</v>
      </c>
      <c r="G78">
        <v>4623.1000000000004</v>
      </c>
      <c r="H78">
        <v>-170.72</v>
      </c>
      <c r="I78">
        <v>349.37</v>
      </c>
      <c r="J78" s="7">
        <f t="shared" si="2"/>
        <v>-0.48865100037209835</v>
      </c>
      <c r="K78" s="4">
        <f t="shared" si="3"/>
        <v>5266.9600000000028</v>
      </c>
    </row>
    <row r="79" spans="1:11" ht="15" thickBot="1" x14ac:dyDescent="0.4">
      <c r="A79" t="s">
        <v>376</v>
      </c>
      <c r="B79" t="s">
        <v>377</v>
      </c>
      <c r="C79" t="s">
        <v>441</v>
      </c>
      <c r="D79" t="s">
        <v>76</v>
      </c>
      <c r="E79">
        <v>0.09</v>
      </c>
      <c r="F79">
        <v>4597.71</v>
      </c>
      <c r="G79">
        <v>4623.09</v>
      </c>
      <c r="H79">
        <v>-170.65</v>
      </c>
      <c r="I79">
        <v>338.4</v>
      </c>
      <c r="J79" s="7">
        <f t="shared" si="2"/>
        <v>-0.50428486997635935</v>
      </c>
      <c r="K79" s="4">
        <f t="shared" si="3"/>
        <v>5096.3100000000031</v>
      </c>
    </row>
    <row r="80" spans="1:11" ht="15" thickBot="1" x14ac:dyDescent="0.4">
      <c r="A80" t="s">
        <v>378</v>
      </c>
      <c r="B80" t="s">
        <v>379</v>
      </c>
      <c r="C80" t="s">
        <v>438</v>
      </c>
      <c r="D80" t="s">
        <v>12</v>
      </c>
      <c r="E80">
        <v>0.32</v>
      </c>
      <c r="F80">
        <v>59.262999999999998</v>
      </c>
      <c r="G80">
        <v>60.508000000000003</v>
      </c>
      <c r="H80">
        <v>-302.93</v>
      </c>
      <c r="I80">
        <v>327.44</v>
      </c>
      <c r="J80" s="7">
        <f t="shared" si="2"/>
        <v>-0.92514659174199854</v>
      </c>
      <c r="K80" s="4">
        <f t="shared" si="3"/>
        <v>4793.3800000000028</v>
      </c>
    </row>
    <row r="81" spans="1:11" ht="15" thickBot="1" x14ac:dyDescent="0.4">
      <c r="A81" t="s">
        <v>378</v>
      </c>
      <c r="B81" t="s">
        <v>379</v>
      </c>
      <c r="C81" t="s">
        <v>438</v>
      </c>
      <c r="D81" t="s">
        <v>12</v>
      </c>
      <c r="E81">
        <v>0.32</v>
      </c>
      <c r="F81">
        <v>59.262999999999998</v>
      </c>
      <c r="G81">
        <v>60.508000000000003</v>
      </c>
      <c r="H81">
        <v>-302.93</v>
      </c>
      <c r="I81">
        <v>307.97000000000003</v>
      </c>
      <c r="J81" s="7">
        <f t="shared" si="2"/>
        <v>-0.98363476962041752</v>
      </c>
      <c r="K81" s="4">
        <f t="shared" si="3"/>
        <v>4490.4500000000025</v>
      </c>
    </row>
    <row r="82" spans="1:11" ht="15" thickBot="1" x14ac:dyDescent="0.4">
      <c r="A82" t="s">
        <v>380</v>
      </c>
      <c r="B82" t="s">
        <v>381</v>
      </c>
      <c r="C82" t="s">
        <v>439</v>
      </c>
      <c r="D82" t="s">
        <v>46</v>
      </c>
      <c r="E82">
        <v>1.86</v>
      </c>
      <c r="F82">
        <v>1.1725099999999999</v>
      </c>
      <c r="G82">
        <v>1.1704399999999999</v>
      </c>
      <c r="H82">
        <v>-292.39</v>
      </c>
      <c r="I82">
        <v>288.51</v>
      </c>
      <c r="J82" s="7">
        <f t="shared" si="2"/>
        <v>-1.0134484073342345</v>
      </c>
      <c r="K82" s="4">
        <f t="shared" si="3"/>
        <v>4198.0600000000022</v>
      </c>
    </row>
    <row r="83" spans="1:11" ht="15" thickBot="1" x14ac:dyDescent="0.4">
      <c r="A83" t="s">
        <v>380</v>
      </c>
      <c r="B83" t="s">
        <v>381</v>
      </c>
      <c r="C83" t="s">
        <v>439</v>
      </c>
      <c r="D83" t="s">
        <v>46</v>
      </c>
      <c r="E83">
        <v>1.86</v>
      </c>
      <c r="F83">
        <v>1.1725099999999999</v>
      </c>
      <c r="G83">
        <v>1.1704399999999999</v>
      </c>
      <c r="H83">
        <v>-292.39</v>
      </c>
      <c r="I83">
        <v>269.73</v>
      </c>
      <c r="J83" s="7">
        <f t="shared" si="2"/>
        <v>-1.0840099358617876</v>
      </c>
      <c r="K83" s="4">
        <f t="shared" si="3"/>
        <v>3905.6700000000023</v>
      </c>
    </row>
    <row r="84" spans="1:11" ht="15" thickBot="1" x14ac:dyDescent="0.4">
      <c r="A84" t="s">
        <v>382</v>
      </c>
      <c r="B84" t="s">
        <v>383</v>
      </c>
      <c r="C84" t="s">
        <v>439</v>
      </c>
      <c r="D84" t="s">
        <v>46</v>
      </c>
      <c r="E84">
        <v>1.66</v>
      </c>
      <c r="F84">
        <v>1.1746099999999999</v>
      </c>
      <c r="G84">
        <v>1.1824399999999999</v>
      </c>
      <c r="H84">
        <v>934.16</v>
      </c>
      <c r="I84">
        <v>250.94</v>
      </c>
      <c r="J84" s="7">
        <f t="shared" si="2"/>
        <v>3.7226428628357375</v>
      </c>
      <c r="K84" s="4">
        <f t="shared" si="3"/>
        <v>4839.8300000000027</v>
      </c>
    </row>
    <row r="85" spans="1:11" ht="15" thickBot="1" x14ac:dyDescent="0.4">
      <c r="A85" t="s">
        <v>382</v>
      </c>
      <c r="B85" t="s">
        <v>384</v>
      </c>
      <c r="C85" t="s">
        <v>439</v>
      </c>
      <c r="D85" t="s">
        <v>46</v>
      </c>
      <c r="E85">
        <v>1.66</v>
      </c>
      <c r="F85">
        <v>1.1746099999999999</v>
      </c>
      <c r="G85">
        <v>1.1843999999999999</v>
      </c>
      <c r="H85">
        <v>1166.6500000000001</v>
      </c>
      <c r="I85">
        <v>310.95999999999998</v>
      </c>
      <c r="J85" s="7">
        <f t="shared" si="2"/>
        <v>3.7517687162335998</v>
      </c>
      <c r="K85" s="4">
        <f t="shared" si="3"/>
        <v>6006.4800000000032</v>
      </c>
    </row>
    <row r="86" spans="1:11" ht="15" thickBot="1" x14ac:dyDescent="0.4">
      <c r="A86" t="s">
        <v>385</v>
      </c>
      <c r="B86" t="s">
        <v>386</v>
      </c>
      <c r="C86" t="s">
        <v>445</v>
      </c>
      <c r="D86" t="s">
        <v>36</v>
      </c>
      <c r="E86">
        <v>7.0000000000000007E-2</v>
      </c>
      <c r="F86">
        <v>107.117</v>
      </c>
      <c r="G86">
        <v>113.577</v>
      </c>
      <c r="H86">
        <v>-333.81</v>
      </c>
      <c r="I86">
        <v>385.92</v>
      </c>
      <c r="J86" s="7">
        <f t="shared" si="2"/>
        <v>-0.86497201492537312</v>
      </c>
      <c r="K86" s="4">
        <f t="shared" si="3"/>
        <v>5672.6700000000028</v>
      </c>
    </row>
    <row r="87" spans="1:11" ht="15" thickBot="1" x14ac:dyDescent="0.4">
      <c r="A87" t="s">
        <v>385</v>
      </c>
      <c r="B87" t="s">
        <v>386</v>
      </c>
      <c r="C87" t="s">
        <v>445</v>
      </c>
      <c r="D87" t="s">
        <v>36</v>
      </c>
      <c r="E87">
        <v>7.0000000000000007E-2</v>
      </c>
      <c r="F87">
        <v>107.117</v>
      </c>
      <c r="G87">
        <v>113.577</v>
      </c>
      <c r="H87">
        <v>-333.81</v>
      </c>
      <c r="I87">
        <v>364.47</v>
      </c>
      <c r="J87" s="7">
        <f t="shared" si="2"/>
        <v>-0.91587785002880895</v>
      </c>
      <c r="K87" s="4">
        <f t="shared" si="3"/>
        <v>5338.8600000000024</v>
      </c>
    </row>
    <row r="88" spans="1:11" ht="15" thickBot="1" x14ac:dyDescent="0.4">
      <c r="A88" t="s">
        <v>387</v>
      </c>
      <c r="B88" t="s">
        <v>388</v>
      </c>
      <c r="C88" t="s">
        <v>445</v>
      </c>
      <c r="D88" t="s">
        <v>36</v>
      </c>
      <c r="E88">
        <v>0.05</v>
      </c>
      <c r="F88">
        <v>110.578</v>
      </c>
      <c r="G88">
        <v>117.738</v>
      </c>
      <c r="H88">
        <v>-264.44</v>
      </c>
      <c r="I88">
        <v>343.02</v>
      </c>
      <c r="J88" s="7">
        <f t="shared" si="2"/>
        <v>-0.77091714768818154</v>
      </c>
      <c r="K88" s="4">
        <f t="shared" si="3"/>
        <v>5074.4200000000028</v>
      </c>
    </row>
    <row r="89" spans="1:11" ht="15" thickBot="1" x14ac:dyDescent="0.4">
      <c r="A89" t="s">
        <v>387</v>
      </c>
      <c r="B89" t="s">
        <v>388</v>
      </c>
      <c r="C89" t="s">
        <v>445</v>
      </c>
      <c r="D89" t="s">
        <v>36</v>
      </c>
      <c r="E89">
        <v>0.05</v>
      </c>
      <c r="F89">
        <v>110.578</v>
      </c>
      <c r="G89">
        <v>117.738</v>
      </c>
      <c r="H89">
        <v>-264.44</v>
      </c>
      <c r="I89">
        <v>326.02999999999997</v>
      </c>
      <c r="J89" s="7">
        <f t="shared" si="2"/>
        <v>-0.81109100389534716</v>
      </c>
      <c r="K89" s="4">
        <f t="shared" si="3"/>
        <v>4809.9800000000032</v>
      </c>
    </row>
    <row r="90" spans="1:11" ht="15" thickBot="1" x14ac:dyDescent="0.4">
      <c r="A90" t="s">
        <v>389</v>
      </c>
      <c r="B90" t="s">
        <v>390</v>
      </c>
      <c r="C90" t="s">
        <v>439</v>
      </c>
      <c r="D90" t="s">
        <v>46</v>
      </c>
      <c r="E90">
        <v>0.91</v>
      </c>
      <c r="F90">
        <v>1.19526</v>
      </c>
      <c r="G90">
        <v>1.19526</v>
      </c>
      <c r="H90">
        <v>0</v>
      </c>
      <c r="I90">
        <v>309.04000000000002</v>
      </c>
      <c r="J90" s="7">
        <f t="shared" si="2"/>
        <v>0</v>
      </c>
      <c r="K90" s="4">
        <f t="shared" si="3"/>
        <v>4809.9800000000032</v>
      </c>
    </row>
    <row r="91" spans="1:11" ht="15" thickBot="1" x14ac:dyDescent="0.4">
      <c r="A91" t="s">
        <v>389</v>
      </c>
      <c r="B91" t="s">
        <v>390</v>
      </c>
      <c r="C91" t="s">
        <v>439</v>
      </c>
      <c r="D91" t="s">
        <v>46</v>
      </c>
      <c r="E91">
        <v>0.91</v>
      </c>
      <c r="F91">
        <v>1.19526</v>
      </c>
      <c r="G91">
        <v>1.19526</v>
      </c>
      <c r="H91">
        <v>0</v>
      </c>
      <c r="I91">
        <v>309.04000000000002</v>
      </c>
      <c r="J91" s="7">
        <f t="shared" si="2"/>
        <v>0</v>
      </c>
      <c r="K91" s="4">
        <f t="shared" si="3"/>
        <v>4809.9800000000032</v>
      </c>
    </row>
    <row r="92" spans="1:11" ht="15" thickBot="1" x14ac:dyDescent="0.4">
      <c r="A92" t="s">
        <v>391</v>
      </c>
      <c r="B92" t="s">
        <v>392</v>
      </c>
      <c r="C92" t="s">
        <v>442</v>
      </c>
      <c r="D92" t="s">
        <v>42</v>
      </c>
      <c r="E92">
        <v>1.66</v>
      </c>
      <c r="F92">
        <v>6919.12</v>
      </c>
      <c r="G92">
        <v>6918.35</v>
      </c>
      <c r="H92">
        <v>-9.3000000000000007</v>
      </c>
      <c r="I92">
        <v>309.04000000000002</v>
      </c>
      <c r="J92" s="7">
        <f t="shared" si="2"/>
        <v>-3.0093191819829147E-2</v>
      </c>
      <c r="K92" s="4">
        <f t="shared" si="3"/>
        <v>4800.680000000003</v>
      </c>
    </row>
    <row r="93" spans="1:11" ht="15" thickBot="1" x14ac:dyDescent="0.4">
      <c r="A93" t="s">
        <v>391</v>
      </c>
      <c r="B93" t="s">
        <v>392</v>
      </c>
      <c r="C93" t="s">
        <v>442</v>
      </c>
      <c r="D93" t="s">
        <v>42</v>
      </c>
      <c r="E93">
        <v>1.66</v>
      </c>
      <c r="F93">
        <v>6919.15</v>
      </c>
      <c r="G93">
        <v>6918.52</v>
      </c>
      <c r="H93">
        <v>-7.61</v>
      </c>
      <c r="I93">
        <v>308.44</v>
      </c>
      <c r="J93" s="7">
        <f t="shared" si="2"/>
        <v>-2.4672545713915188E-2</v>
      </c>
      <c r="K93" s="4">
        <f t="shared" si="3"/>
        <v>4793.0700000000033</v>
      </c>
    </row>
    <row r="94" spans="1:11" ht="15" thickBot="1" x14ac:dyDescent="0.4">
      <c r="A94" t="s">
        <v>393</v>
      </c>
      <c r="B94" t="s">
        <v>394</v>
      </c>
      <c r="C94" t="s">
        <v>442</v>
      </c>
      <c r="D94" t="s">
        <v>42</v>
      </c>
      <c r="E94">
        <v>1.35</v>
      </c>
      <c r="F94">
        <v>6944.63</v>
      </c>
      <c r="G94">
        <v>6918.18</v>
      </c>
      <c r="H94">
        <v>-260.20999999999998</v>
      </c>
      <c r="I94">
        <v>307.95</v>
      </c>
      <c r="J94" s="7">
        <f t="shared" si="2"/>
        <v>-0.8449748335768793</v>
      </c>
      <c r="K94" s="4">
        <f t="shared" si="3"/>
        <v>4532.8600000000033</v>
      </c>
    </row>
    <row r="95" spans="1:11" ht="15" thickBot="1" x14ac:dyDescent="0.4">
      <c r="A95" t="s">
        <v>393</v>
      </c>
      <c r="B95" t="s">
        <v>394</v>
      </c>
      <c r="C95" t="s">
        <v>442</v>
      </c>
      <c r="D95" t="s">
        <v>42</v>
      </c>
      <c r="E95">
        <v>1.35</v>
      </c>
      <c r="F95">
        <v>6944.63</v>
      </c>
      <c r="G95">
        <v>6918.08</v>
      </c>
      <c r="H95">
        <v>-261.19</v>
      </c>
      <c r="I95">
        <v>291.24</v>
      </c>
      <c r="J95" s="7">
        <f t="shared" si="2"/>
        <v>-0.89682049169070177</v>
      </c>
      <c r="K95" s="4">
        <f t="shared" si="3"/>
        <v>4271.6700000000037</v>
      </c>
    </row>
    <row r="96" spans="1:11" ht="15" thickBot="1" x14ac:dyDescent="0.4">
      <c r="A96" t="s">
        <v>395</v>
      </c>
      <c r="B96" t="s">
        <v>396</v>
      </c>
      <c r="C96" t="s">
        <v>439</v>
      </c>
      <c r="D96" t="s">
        <v>46</v>
      </c>
      <c r="E96">
        <v>0.62</v>
      </c>
      <c r="F96">
        <v>1.1823999999999999</v>
      </c>
      <c r="G96">
        <v>1.1808000000000001</v>
      </c>
      <c r="H96">
        <v>-73.86</v>
      </c>
      <c r="I96">
        <v>251.97</v>
      </c>
      <c r="J96" s="7">
        <f t="shared" si="2"/>
        <v>-0.29313013453982617</v>
      </c>
      <c r="K96" s="4">
        <f t="shared" si="3"/>
        <v>4197.810000000004</v>
      </c>
    </row>
    <row r="97" spans="1:11" ht="15" thickBot="1" x14ac:dyDescent="0.4">
      <c r="A97" t="s">
        <v>395</v>
      </c>
      <c r="B97" t="s">
        <v>396</v>
      </c>
      <c r="C97" t="s">
        <v>439</v>
      </c>
      <c r="D97" t="s">
        <v>46</v>
      </c>
      <c r="E97">
        <v>0.62</v>
      </c>
      <c r="F97">
        <v>1.1823999999999999</v>
      </c>
      <c r="G97">
        <v>1.1808000000000001</v>
      </c>
      <c r="H97">
        <v>-73.86</v>
      </c>
      <c r="I97">
        <v>247.22</v>
      </c>
      <c r="J97" s="7">
        <f t="shared" si="2"/>
        <v>-0.29876223606504326</v>
      </c>
      <c r="K97" s="4">
        <f t="shared" si="3"/>
        <v>4123.9500000000044</v>
      </c>
    </row>
    <row r="98" spans="1:11" ht="15" thickBot="1" x14ac:dyDescent="0.4">
      <c r="A98" t="s">
        <v>397</v>
      </c>
      <c r="B98" t="s">
        <v>398</v>
      </c>
      <c r="C98" t="s">
        <v>442</v>
      </c>
      <c r="D98" t="s">
        <v>42</v>
      </c>
      <c r="E98">
        <v>0.57999999999999996</v>
      </c>
      <c r="F98">
        <v>6903.67</v>
      </c>
      <c r="G98">
        <v>6904.07</v>
      </c>
      <c r="H98">
        <v>-1.7</v>
      </c>
      <c r="I98">
        <v>242.48</v>
      </c>
      <c r="J98" s="7">
        <f t="shared" si="2"/>
        <v>-7.0108874958759483E-3</v>
      </c>
      <c r="K98" s="4">
        <f t="shared" si="3"/>
        <v>4122.2500000000045</v>
      </c>
    </row>
    <row r="99" spans="1:11" ht="15" thickBot="1" x14ac:dyDescent="0.4">
      <c r="A99" t="s">
        <v>397</v>
      </c>
      <c r="B99" t="s">
        <v>398</v>
      </c>
      <c r="C99" t="s">
        <v>442</v>
      </c>
      <c r="D99" t="s">
        <v>42</v>
      </c>
      <c r="E99">
        <v>0.57999999999999996</v>
      </c>
      <c r="F99">
        <v>6903.61</v>
      </c>
      <c r="G99">
        <v>6904.07</v>
      </c>
      <c r="H99">
        <v>-1.96</v>
      </c>
      <c r="I99">
        <v>242.37</v>
      </c>
      <c r="J99" s="7">
        <f t="shared" si="2"/>
        <v>-8.0868094236085323E-3</v>
      </c>
      <c r="K99" s="4">
        <f t="shared" si="3"/>
        <v>4120.2900000000045</v>
      </c>
    </row>
    <row r="100" spans="1:11" ht="15" thickBot="1" x14ac:dyDescent="0.4">
      <c r="A100" t="s">
        <v>399</v>
      </c>
      <c r="B100" t="s">
        <v>400</v>
      </c>
      <c r="C100" t="s">
        <v>441</v>
      </c>
      <c r="D100" t="s">
        <v>76</v>
      </c>
      <c r="E100">
        <v>0.01</v>
      </c>
      <c r="F100">
        <v>4881.1000000000004</v>
      </c>
      <c r="G100">
        <v>4906.6400000000003</v>
      </c>
      <c r="H100">
        <v>-18.8</v>
      </c>
      <c r="I100">
        <v>242.24</v>
      </c>
      <c r="J100" s="7">
        <f t="shared" si="2"/>
        <v>-7.7608982826948475E-2</v>
      </c>
      <c r="K100" s="4">
        <f t="shared" si="3"/>
        <v>4101.4900000000043</v>
      </c>
    </row>
    <row r="101" spans="1:11" ht="15" thickBot="1" x14ac:dyDescent="0.4">
      <c r="A101" t="s">
        <v>399</v>
      </c>
      <c r="B101" t="s">
        <v>400</v>
      </c>
      <c r="C101" t="s">
        <v>441</v>
      </c>
      <c r="D101" t="s">
        <v>76</v>
      </c>
      <c r="E101">
        <v>0.01</v>
      </c>
      <c r="F101">
        <v>4881.1000000000004</v>
      </c>
      <c r="G101">
        <v>4911.3</v>
      </c>
      <c r="H101">
        <v>-22.23</v>
      </c>
      <c r="I101">
        <v>241.03</v>
      </c>
      <c r="J101" s="7">
        <f t="shared" si="2"/>
        <v>-9.2229183089242009E-2</v>
      </c>
      <c r="K101" s="4">
        <f t="shared" si="3"/>
        <v>4079.2600000000043</v>
      </c>
    </row>
    <row r="102" spans="1:11" ht="15" thickBot="1" x14ac:dyDescent="0.4">
      <c r="A102" t="s">
        <v>401</v>
      </c>
      <c r="B102" t="s">
        <v>402</v>
      </c>
      <c r="C102" t="s">
        <v>444</v>
      </c>
      <c r="D102" t="s">
        <v>83</v>
      </c>
      <c r="E102">
        <v>0.54</v>
      </c>
      <c r="F102">
        <v>156.465</v>
      </c>
      <c r="G102">
        <v>154.57300000000001</v>
      </c>
      <c r="H102">
        <v>475.68</v>
      </c>
      <c r="I102">
        <v>239.6</v>
      </c>
      <c r="J102" s="7">
        <f t="shared" si="2"/>
        <v>1.9853088480801335</v>
      </c>
      <c r="K102" s="4">
        <f t="shared" si="3"/>
        <v>4554.9400000000041</v>
      </c>
    </row>
    <row r="103" spans="1:11" ht="15" thickBot="1" x14ac:dyDescent="0.4">
      <c r="A103" t="s">
        <v>404</v>
      </c>
      <c r="B103" t="s">
        <v>405</v>
      </c>
      <c r="C103" t="s">
        <v>442</v>
      </c>
      <c r="D103" t="s">
        <v>42</v>
      </c>
      <c r="E103">
        <v>1.18</v>
      </c>
      <c r="F103">
        <v>6932.1</v>
      </c>
      <c r="G103">
        <v>6874.74</v>
      </c>
      <c r="H103">
        <v>496.81</v>
      </c>
      <c r="I103">
        <v>270.17</v>
      </c>
      <c r="J103" s="7">
        <f t="shared" si="2"/>
        <v>1.8388792241921752</v>
      </c>
      <c r="K103" s="4">
        <f t="shared" si="3"/>
        <v>5051.7500000000045</v>
      </c>
    </row>
    <row r="104" spans="1:11" ht="15" thickBot="1" x14ac:dyDescent="0.4">
      <c r="A104" t="s">
        <v>410</v>
      </c>
      <c r="B104" t="s">
        <v>411</v>
      </c>
      <c r="C104" t="s">
        <v>444</v>
      </c>
      <c r="D104" t="s">
        <v>83</v>
      </c>
      <c r="E104">
        <v>1.01</v>
      </c>
      <c r="F104">
        <v>153.447</v>
      </c>
      <c r="G104">
        <v>153.42699999999999</v>
      </c>
      <c r="H104">
        <v>-9.8699999999999992</v>
      </c>
      <c r="I104">
        <v>302.08999999999997</v>
      </c>
      <c r="J104" s="7">
        <f t="shared" si="2"/>
        <v>-3.2672382402595256E-2</v>
      </c>
      <c r="K104" s="4">
        <f t="shared" si="3"/>
        <v>5041.8800000000047</v>
      </c>
    </row>
    <row r="105" spans="1:11" ht="15" thickBot="1" x14ac:dyDescent="0.4">
      <c r="A105" t="s">
        <v>412</v>
      </c>
      <c r="B105" t="s">
        <v>413</v>
      </c>
      <c r="C105" t="s">
        <v>444</v>
      </c>
      <c r="D105" t="s">
        <v>83</v>
      </c>
      <c r="E105">
        <v>0.96</v>
      </c>
      <c r="F105">
        <v>152.83000000000001</v>
      </c>
      <c r="G105">
        <v>153.608</v>
      </c>
      <c r="H105">
        <v>-363.43</v>
      </c>
      <c r="I105">
        <v>301.45</v>
      </c>
      <c r="J105" s="7">
        <f t="shared" si="2"/>
        <v>-1.2056062365234699</v>
      </c>
      <c r="K105" s="4">
        <f t="shared" si="3"/>
        <v>4678.4500000000044</v>
      </c>
    </row>
    <row r="106" spans="1:11" ht="15" thickBot="1" x14ac:dyDescent="0.4">
      <c r="A106" t="s">
        <v>412</v>
      </c>
      <c r="B106" t="s">
        <v>413</v>
      </c>
      <c r="C106" t="s">
        <v>444</v>
      </c>
      <c r="D106" t="s">
        <v>83</v>
      </c>
      <c r="E106">
        <v>0.95</v>
      </c>
      <c r="F106">
        <v>152.83000000000001</v>
      </c>
      <c r="G106">
        <v>153.608</v>
      </c>
      <c r="H106">
        <v>-359.64</v>
      </c>
      <c r="I106">
        <v>278.10000000000002</v>
      </c>
      <c r="J106" s="7">
        <f t="shared" si="2"/>
        <v>-1.2932038834951454</v>
      </c>
      <c r="K106" s="4">
        <f t="shared" si="3"/>
        <v>4318.810000000004</v>
      </c>
    </row>
    <row r="107" spans="1:11" ht="15" thickBot="1" x14ac:dyDescent="0.4">
      <c r="A107" t="s">
        <v>401</v>
      </c>
      <c r="B107" t="s">
        <v>403</v>
      </c>
      <c r="C107" t="s">
        <v>444</v>
      </c>
      <c r="D107" t="s">
        <v>83</v>
      </c>
      <c r="E107">
        <v>0.54</v>
      </c>
      <c r="F107">
        <v>156.465</v>
      </c>
      <c r="G107">
        <v>153.761</v>
      </c>
      <c r="H107">
        <v>689.14</v>
      </c>
      <c r="I107">
        <v>255</v>
      </c>
      <c r="J107" s="7">
        <f t="shared" si="2"/>
        <v>2.7025098039215685</v>
      </c>
      <c r="K107" s="4">
        <f t="shared" si="3"/>
        <v>5007.9500000000044</v>
      </c>
    </row>
    <row r="108" spans="1:11" ht="15" thickBot="1" x14ac:dyDescent="0.4">
      <c r="A108" t="s">
        <v>404</v>
      </c>
      <c r="B108" t="s">
        <v>406</v>
      </c>
      <c r="C108" t="s">
        <v>442</v>
      </c>
      <c r="D108" t="s">
        <v>42</v>
      </c>
      <c r="E108">
        <v>1.18</v>
      </c>
      <c r="F108">
        <v>6932.09</v>
      </c>
      <c r="G108">
        <v>6851.47</v>
      </c>
      <c r="H108">
        <v>701.57</v>
      </c>
      <c r="I108">
        <v>299.27</v>
      </c>
      <c r="J108" s="7">
        <f t="shared" si="2"/>
        <v>2.3442710595783076</v>
      </c>
      <c r="K108" s="4">
        <f t="shared" si="3"/>
        <v>5709.5200000000041</v>
      </c>
    </row>
    <row r="109" spans="1:11" ht="15" thickBot="1" x14ac:dyDescent="0.4">
      <c r="A109" t="s">
        <v>407</v>
      </c>
      <c r="B109" t="s">
        <v>408</v>
      </c>
      <c r="C109" t="s">
        <v>446</v>
      </c>
      <c r="D109" t="s">
        <v>261</v>
      </c>
      <c r="E109">
        <v>0.87</v>
      </c>
      <c r="F109">
        <v>0.71033000000000002</v>
      </c>
      <c r="G109">
        <v>0.70770999999999995</v>
      </c>
      <c r="H109">
        <v>165.32</v>
      </c>
      <c r="I109">
        <v>344.35</v>
      </c>
      <c r="J109" s="7">
        <f t="shared" si="2"/>
        <v>0.48009292870625814</v>
      </c>
      <c r="K109" s="4">
        <f t="shared" si="3"/>
        <v>5874.8400000000038</v>
      </c>
    </row>
    <row r="110" spans="1:11" ht="15" thickBot="1" x14ac:dyDescent="0.4">
      <c r="A110" t="s">
        <v>407</v>
      </c>
      <c r="B110" t="s">
        <v>409</v>
      </c>
      <c r="C110" t="s">
        <v>446</v>
      </c>
      <c r="D110" t="s">
        <v>261</v>
      </c>
      <c r="E110">
        <v>0.87</v>
      </c>
      <c r="F110">
        <v>0.71033000000000002</v>
      </c>
      <c r="G110">
        <v>0.70772000000000002</v>
      </c>
      <c r="H110">
        <v>164.68</v>
      </c>
      <c r="I110">
        <v>354.97</v>
      </c>
      <c r="J110" s="7">
        <f t="shared" si="2"/>
        <v>0.4639265290024509</v>
      </c>
      <c r="K110" s="4">
        <f t="shared" si="3"/>
        <v>6039.5200000000041</v>
      </c>
    </row>
    <row r="111" spans="1:11" ht="15" thickBot="1" x14ac:dyDescent="0.4">
      <c r="A111" t="s">
        <v>416</v>
      </c>
      <c r="B111" t="s">
        <v>417</v>
      </c>
      <c r="C111" t="s">
        <v>442</v>
      </c>
      <c r="D111" t="s">
        <v>42</v>
      </c>
      <c r="E111">
        <v>1.89</v>
      </c>
      <c r="F111">
        <v>6850.11</v>
      </c>
      <c r="G111">
        <v>6850.08</v>
      </c>
      <c r="H111">
        <v>0.42</v>
      </c>
      <c r="I111">
        <v>365.55</v>
      </c>
      <c r="J111" s="7">
        <f t="shared" si="2"/>
        <v>1.1489536315141566E-3</v>
      </c>
      <c r="K111" s="4">
        <f t="shared" si="3"/>
        <v>6039.9400000000041</v>
      </c>
    </row>
    <row r="112" spans="1:11" ht="15" thickBot="1" x14ac:dyDescent="0.4">
      <c r="A112" t="s">
        <v>416</v>
      </c>
      <c r="B112" t="s">
        <v>417</v>
      </c>
      <c r="C112" t="s">
        <v>442</v>
      </c>
      <c r="D112" t="s">
        <v>42</v>
      </c>
      <c r="E112">
        <v>1.89</v>
      </c>
      <c r="F112">
        <v>6850.11</v>
      </c>
      <c r="G112">
        <v>6850.08</v>
      </c>
      <c r="H112">
        <v>0.42</v>
      </c>
      <c r="I112">
        <v>365.58</v>
      </c>
      <c r="J112" s="7">
        <f t="shared" si="2"/>
        <v>1.1488593467914E-3</v>
      </c>
      <c r="K112" s="4">
        <f t="shared" si="3"/>
        <v>6040.3600000000042</v>
      </c>
    </row>
    <row r="113" spans="1:11" ht="15" thickBot="1" x14ac:dyDescent="0.4">
      <c r="A113" t="s">
        <v>414</v>
      </c>
      <c r="B113" t="s">
        <v>415</v>
      </c>
      <c r="C113" t="s">
        <v>438</v>
      </c>
      <c r="D113" t="s">
        <v>12</v>
      </c>
      <c r="E113">
        <v>0.33</v>
      </c>
      <c r="F113">
        <v>65.988</v>
      </c>
      <c r="G113">
        <v>65.972999999999999</v>
      </c>
      <c r="H113">
        <v>-3.74</v>
      </c>
      <c r="I113">
        <v>365.61</v>
      </c>
      <c r="J113" s="7">
        <f t="shared" si="2"/>
        <v>-1.0229479500013676E-2</v>
      </c>
      <c r="K113" s="4">
        <f t="shared" si="3"/>
        <v>6036.6200000000044</v>
      </c>
    </row>
    <row r="114" spans="1:11" ht="15" thickBot="1" x14ac:dyDescent="0.4">
      <c r="A114" t="s">
        <v>414</v>
      </c>
      <c r="B114" t="s">
        <v>415</v>
      </c>
      <c r="C114" t="s">
        <v>438</v>
      </c>
      <c r="D114" t="s">
        <v>12</v>
      </c>
      <c r="E114">
        <v>0.33</v>
      </c>
      <c r="F114">
        <v>65.988</v>
      </c>
      <c r="G114">
        <v>65.988</v>
      </c>
      <c r="H114">
        <v>0</v>
      </c>
      <c r="I114">
        <v>365.37</v>
      </c>
      <c r="J114" s="7">
        <f t="shared" si="2"/>
        <v>0</v>
      </c>
      <c r="K114" s="4">
        <f t="shared" si="3"/>
        <v>6036.6200000000044</v>
      </c>
    </row>
    <row r="115" spans="1:11" ht="15" thickBot="1" x14ac:dyDescent="0.4">
      <c r="A115" t="s">
        <v>418</v>
      </c>
      <c r="B115" t="s">
        <v>420</v>
      </c>
      <c r="C115" t="s">
        <v>444</v>
      </c>
      <c r="D115" t="s">
        <v>83</v>
      </c>
      <c r="E115">
        <v>1.07</v>
      </c>
      <c r="F115">
        <v>155.792</v>
      </c>
      <c r="G115">
        <v>156.71600000000001</v>
      </c>
      <c r="H115">
        <v>457.75</v>
      </c>
      <c r="I115">
        <v>365.37</v>
      </c>
      <c r="J115" s="7">
        <f t="shared" si="2"/>
        <v>1.2528395872677012</v>
      </c>
      <c r="K115" s="4">
        <f t="shared" si="3"/>
        <v>6494.3700000000044</v>
      </c>
    </row>
    <row r="116" spans="1:11" ht="15" thickBot="1" x14ac:dyDescent="0.4">
      <c r="A116" t="s">
        <v>418</v>
      </c>
      <c r="B116" t="s">
        <v>419</v>
      </c>
      <c r="C116" t="s">
        <v>444</v>
      </c>
      <c r="D116" t="s">
        <v>83</v>
      </c>
      <c r="E116">
        <v>1.07</v>
      </c>
      <c r="F116">
        <v>155.792</v>
      </c>
      <c r="G116">
        <v>155.791</v>
      </c>
      <c r="H116">
        <v>-0.52</v>
      </c>
      <c r="I116">
        <v>394.78</v>
      </c>
      <c r="J116" s="7">
        <f t="shared" si="2"/>
        <v>-1.3171893206342775E-3</v>
      </c>
      <c r="K116" s="4">
        <f t="shared" si="3"/>
        <v>6493.850000000004</v>
      </c>
    </row>
    <row r="117" spans="1:11" ht="15" thickBot="1" x14ac:dyDescent="0.4">
      <c r="A117" t="s">
        <v>421</v>
      </c>
      <c r="B117" t="s">
        <v>422</v>
      </c>
      <c r="C117" t="s">
        <v>441</v>
      </c>
      <c r="D117" t="s">
        <v>76</v>
      </c>
      <c r="E117">
        <v>0.04</v>
      </c>
      <c r="F117">
        <v>5174.3100000000004</v>
      </c>
      <c r="G117">
        <v>5216.95</v>
      </c>
      <c r="H117">
        <v>-126.63</v>
      </c>
      <c r="I117">
        <v>394.74</v>
      </c>
      <c r="J117" s="7">
        <f t="shared" si="2"/>
        <v>-0.32079343365253077</v>
      </c>
      <c r="K117" s="4">
        <f t="shared" si="3"/>
        <v>6367.2200000000039</v>
      </c>
    </row>
    <row r="118" spans="1:11" ht="15" thickBot="1" x14ac:dyDescent="0.4">
      <c r="A118" t="s">
        <v>421</v>
      </c>
      <c r="B118" t="s">
        <v>422</v>
      </c>
      <c r="C118" t="s">
        <v>441</v>
      </c>
      <c r="D118" t="s">
        <v>76</v>
      </c>
      <c r="E118">
        <v>0.04</v>
      </c>
      <c r="F118">
        <v>5174.2700000000004</v>
      </c>
      <c r="G118">
        <v>5216.95</v>
      </c>
      <c r="H118">
        <v>-126.75</v>
      </c>
      <c r="I118">
        <v>386.61</v>
      </c>
      <c r="J118" s="7">
        <f t="shared" si="2"/>
        <v>-0.32784977108714208</v>
      </c>
      <c r="K118" s="4">
        <f t="shared" si="3"/>
        <v>6240.4700000000039</v>
      </c>
    </row>
    <row r="119" spans="1:11" ht="15" thickBot="1" x14ac:dyDescent="0.4">
      <c r="A119" t="s">
        <v>423</v>
      </c>
      <c r="B119" t="s">
        <v>424</v>
      </c>
      <c r="C119" t="s">
        <v>442</v>
      </c>
      <c r="D119" t="s">
        <v>42</v>
      </c>
      <c r="E119">
        <v>0.54</v>
      </c>
      <c r="F119">
        <v>6926.25</v>
      </c>
      <c r="G119">
        <v>6854.45</v>
      </c>
      <c r="H119">
        <v>288.14999999999998</v>
      </c>
      <c r="I119">
        <v>378.46</v>
      </c>
      <c r="J119" s="7">
        <f t="shared" si="2"/>
        <v>0.76137504624002539</v>
      </c>
      <c r="K119" s="4">
        <f t="shared" si="3"/>
        <v>6528.6200000000035</v>
      </c>
    </row>
    <row r="120" spans="1:11" ht="15" thickBot="1" x14ac:dyDescent="0.4">
      <c r="A120" t="s">
        <v>426</v>
      </c>
      <c r="B120" t="s">
        <v>427</v>
      </c>
      <c r="C120" t="s">
        <v>443</v>
      </c>
      <c r="D120" t="s">
        <v>31</v>
      </c>
      <c r="E120">
        <v>0.6</v>
      </c>
      <c r="F120">
        <v>1.3426800000000001</v>
      </c>
      <c r="G120">
        <v>1.3359099999999999</v>
      </c>
      <c r="H120">
        <v>-310.14</v>
      </c>
      <c r="I120">
        <v>396.98</v>
      </c>
      <c r="J120" s="7">
        <f t="shared" si="2"/>
        <v>-0.78124842561338093</v>
      </c>
      <c r="K120" s="4">
        <f t="shared" si="3"/>
        <v>6218.4800000000032</v>
      </c>
    </row>
    <row r="121" spans="1:11" ht="15" thickBot="1" x14ac:dyDescent="0.4">
      <c r="A121" t="s">
        <v>426</v>
      </c>
      <c r="B121" t="s">
        <v>427</v>
      </c>
      <c r="C121" t="s">
        <v>443</v>
      </c>
      <c r="D121" t="s">
        <v>31</v>
      </c>
      <c r="E121">
        <v>0.6</v>
      </c>
      <c r="F121">
        <v>1.3426800000000001</v>
      </c>
      <c r="G121">
        <v>1.3359099999999999</v>
      </c>
      <c r="H121">
        <v>-310.14</v>
      </c>
      <c r="I121">
        <v>377.05</v>
      </c>
      <c r="J121" s="7">
        <f t="shared" si="2"/>
        <v>-0.82254342925341462</v>
      </c>
      <c r="K121" s="4">
        <f t="shared" si="3"/>
        <v>5908.3400000000029</v>
      </c>
    </row>
    <row r="122" spans="1:11" ht="15" thickBot="1" x14ac:dyDescent="0.4">
      <c r="A122" t="s">
        <v>423</v>
      </c>
      <c r="B122" t="s">
        <v>425</v>
      </c>
      <c r="C122" t="s">
        <v>442</v>
      </c>
      <c r="D122" t="s">
        <v>42</v>
      </c>
      <c r="E122">
        <v>0.54</v>
      </c>
      <c r="F122">
        <v>6926.25</v>
      </c>
      <c r="G122">
        <v>6792.2</v>
      </c>
      <c r="H122">
        <v>542.35</v>
      </c>
      <c r="I122">
        <v>357.12</v>
      </c>
      <c r="J122" s="7">
        <f t="shared" si="2"/>
        <v>1.5186771953405018</v>
      </c>
      <c r="K122" s="4">
        <f t="shared" si="3"/>
        <v>6450.6900000000032</v>
      </c>
    </row>
    <row r="123" spans="1:11" ht="15" thickBot="1" x14ac:dyDescent="0.4">
      <c r="A123" t="s">
        <v>430</v>
      </c>
      <c r="B123" t="s">
        <v>431</v>
      </c>
      <c r="C123" t="s">
        <v>447</v>
      </c>
      <c r="D123" t="s">
        <v>284</v>
      </c>
      <c r="E123">
        <v>0.3</v>
      </c>
      <c r="F123">
        <v>10538.71</v>
      </c>
      <c r="G123">
        <v>10637.73</v>
      </c>
      <c r="H123">
        <v>-297.06</v>
      </c>
      <c r="I123">
        <v>391.97</v>
      </c>
      <c r="J123" s="7">
        <f t="shared" si="2"/>
        <v>-0.75786412225425415</v>
      </c>
      <c r="K123" s="4">
        <f t="shared" si="3"/>
        <v>6153.6300000000028</v>
      </c>
    </row>
    <row r="124" spans="1:11" ht="15" thickBot="1" x14ac:dyDescent="0.4">
      <c r="A124" t="s">
        <v>430</v>
      </c>
      <c r="B124" t="s">
        <v>431</v>
      </c>
      <c r="C124" t="s">
        <v>447</v>
      </c>
      <c r="D124" t="s">
        <v>284</v>
      </c>
      <c r="E124">
        <v>0.3</v>
      </c>
      <c r="F124">
        <v>10538.71</v>
      </c>
      <c r="G124">
        <v>10637.73</v>
      </c>
      <c r="H124">
        <v>-297.06</v>
      </c>
      <c r="I124">
        <v>372.88</v>
      </c>
      <c r="J124" s="7">
        <f t="shared" si="2"/>
        <v>-0.79666380605020382</v>
      </c>
      <c r="K124" s="4">
        <f t="shared" si="3"/>
        <v>5856.5700000000024</v>
      </c>
    </row>
    <row r="125" spans="1:11" ht="15" thickBot="1" x14ac:dyDescent="0.4">
      <c r="A125" t="s">
        <v>428</v>
      </c>
      <c r="B125" t="s">
        <v>429</v>
      </c>
      <c r="C125" t="s">
        <v>443</v>
      </c>
      <c r="D125" t="s">
        <v>31</v>
      </c>
      <c r="E125">
        <v>0.53</v>
      </c>
      <c r="F125">
        <v>1.3370299999999999</v>
      </c>
      <c r="G125">
        <v>1.3301799999999999</v>
      </c>
      <c r="H125">
        <v>-278.39</v>
      </c>
      <c r="I125">
        <v>353.8</v>
      </c>
      <c r="J125" s="7">
        <f t="shared" si="2"/>
        <v>-0.78685698134539284</v>
      </c>
      <c r="K125" s="4">
        <f t="shared" si="3"/>
        <v>5578.1800000000021</v>
      </c>
    </row>
    <row r="126" spans="1:11" ht="15" thickBot="1" x14ac:dyDescent="0.4">
      <c r="A126" t="s">
        <v>428</v>
      </c>
      <c r="B126" t="s">
        <v>429</v>
      </c>
      <c r="C126" t="s">
        <v>443</v>
      </c>
      <c r="D126" t="s">
        <v>31</v>
      </c>
      <c r="E126">
        <v>0.53</v>
      </c>
      <c r="F126">
        <v>1.3370299999999999</v>
      </c>
      <c r="G126">
        <v>1.3301799999999999</v>
      </c>
      <c r="H126">
        <v>-278.39</v>
      </c>
      <c r="I126">
        <v>335.91</v>
      </c>
      <c r="J126" s="7">
        <f t="shared" si="2"/>
        <v>-0.82876365693191623</v>
      </c>
      <c r="K126" s="4">
        <f t="shared" si="3"/>
        <v>5299.7900000000018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STFP</vt:lpstr>
      <vt:lpstr>STEE</vt:lpstr>
      <vt:lpstr>FP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Duminda Prasad</dc:creator>
  <cp:lastModifiedBy>Duminda Prasad</cp:lastModifiedBy>
  <dcterms:created xsi:type="dcterms:W3CDTF">2026-03-06T15:42:19Z</dcterms:created>
  <dcterms:modified xsi:type="dcterms:W3CDTF">2026-03-20T16:11:38Z</dcterms:modified>
</cp:coreProperties>
</file>